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Setup" sheetId="1" state="visible" r:id="rId3"/>
    <sheet name="2-Scenario List" sheetId="2" state="visible" r:id="rId4"/>
    <sheet name="3-ECF" sheetId="3" state="visible" r:id="rId5"/>
    <sheet name="4-TCF" sheetId="4" state="visible" r:id="rId6"/>
    <sheet name="5-Rough Estimates" sheetId="5" state="visible" r:id="rId7"/>
    <sheet name="6-Monte Carlo" sheetId="6" state="visible" r:id="rId8"/>
    <sheet name="7-WBS Features" sheetId="7" state="visible" r:id="rId9"/>
    <sheet name="8-Detailed Estima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<sst xmlns="http://schemas.openxmlformats.org/spreadsheetml/2006/main" count="333" uniqueCount="218">
  <si>
    <t xml:space="preserve">FORGE Estimation Template — Setup &amp; Calibration</t>
  </si>
  <si>
    <t xml:space="preserve">A. PROJECT PARAMETERS</t>
  </si>
  <si>
    <t xml:space="preserve">Project Name</t>
  </si>
  <si>
    <t xml:space="preserve">Sprint Duration (days)</t>
  </si>
  <si>
    <t xml:space="preserve">Daily Token Throughput (K tokens)</t>
  </si>
  <si>
    <t xml:space="preserve">AI Model</t>
  </si>
  <si>
    <t xml:space="preserve">Claude Sonnet 4.x</t>
  </si>
  <si>
    <t xml:space="preserve">Productivity Adjustment Factor (PAF)</t>
  </si>
  <si>
    <t xml:space="preserve">Rework Surcharge (%)</t>
  </si>
  <si>
    <t xml:space="preserve">Combined Risk Multiplier (from ECF×TCF)</t>
  </si>
  <si>
    <t xml:space="preserve">Estimation Phase</t>
  </si>
  <si>
    <t xml:space="preserve">Approved Concept</t>
  </si>
  <si>
    <t xml:space="preserve">Convergence Min Multiplier</t>
  </si>
  <si>
    <t xml:space="preserve">Convergence Max Multiplier</t>
  </si>
  <si>
    <t xml:space="preserve">B. REFERENCE STORY K-TOKEN BASELINES (tokens per story point)</t>
  </si>
  <si>
    <t xml:space="preserve">Size</t>
  </si>
  <si>
    <t xml:space="preserve">SP Value</t>
  </si>
  <si>
    <t xml:space="preserve">K Min (K tok)</t>
  </si>
  <si>
    <t xml:space="preserve">K Expected (K tok)</t>
  </si>
  <si>
    <t xml:space="preserve">K Max (K tok)</t>
  </si>
  <si>
    <t xml:space="preserve">Status</t>
  </si>
  <si>
    <t xml:space="preserve">Source / Notes</t>
  </si>
  <si>
    <t xml:space="preserve">XS</t>
  </si>
  <si>
    <t xml:space="preserve">SEED</t>
  </si>
  <si>
    <t xml:space="preserve">Simple read-only view</t>
  </si>
  <si>
    <t xml:space="preserve">S</t>
  </si>
  <si>
    <t xml:space="preserve">Single CRUD, 1 model, 3-5 scenarios</t>
  </si>
  <si>
    <t xml:space="preserve">M</t>
  </si>
  <si>
    <t xml:space="preserve">2 models, service layer, 6-10 scenarios</t>
  </si>
  <si>
    <t xml:space="preserve">L</t>
  </si>
  <si>
    <t xml:space="preserve">Multi-model, integrations, 10-15 scenarios</t>
  </si>
  <si>
    <t xml:space="preserve">XL</t>
  </si>
  <si>
    <t xml:space="preserve">Complex subsystem, external API, &gt;15 scenarios</t>
  </si>
  <si>
    <t xml:space="preserve">C. SPRINT CAPACITY PLANNING</t>
  </si>
  <si>
    <t xml:space="preserve">Sprint #</t>
  </si>
  <si>
    <t xml:space="preserve">SP Capacity</t>
  </si>
  <si>
    <t xml:space="preserve">Token Budget (K, expected)</t>
  </si>
  <si>
    <t xml:space="preserve">Token Budget (K, max)</t>
  </si>
  <si>
    <t xml:space="preserve">Notes</t>
  </si>
  <si>
    <t xml:space="preserve">Scenario List — Level 1 T-Shirt Sizing</t>
  </si>
  <si>
    <t xml:space="preserve">Scenario ID</t>
  </si>
  <si>
    <t xml:space="preserve">Feature</t>
  </si>
  <si>
    <t xml:space="preserve">Act/Group</t>
  </si>
  <si>
    <t xml:space="preserve">Scenario Description</t>
  </si>
  <si>
    <t xml:space="preserve">Size (XS/S/M/L/XL)</t>
  </si>
  <si>
    <t xml:space="preserve">K Min</t>
  </si>
  <si>
    <t xml:space="preserve">K Exp</t>
  </si>
  <si>
    <t xml:space="preserve">K Max</t>
  </si>
  <si>
    <t xml:space="preserve">Adj K Min</t>
  </si>
  <si>
    <t xml:space="preserve">Adj K Exp</t>
  </si>
  <si>
    <t xml:space="preserve">Adj K Max</t>
  </si>
  <si>
    <t xml:space="preserve">Notes / Assumptions</t>
  </si>
  <si>
    <t xml:space="preserve">TOTALS</t>
  </si>
  <si>
    <t xml:space="preserve">Environmental Complexity Factors (ECF)</t>
  </si>
  <si>
    <t xml:space="preserve">#</t>
  </si>
  <si>
    <t xml:space="preserve">Factor</t>
  </si>
  <si>
    <t xml:space="preserve">Weight</t>
  </si>
  <si>
    <t xml:space="preserve">Rating (0–5)</t>
  </si>
  <si>
    <t xml:space="preserve">Weighted</t>
  </si>
  <si>
    <t xml:space="preserve">E1</t>
  </si>
  <si>
    <t xml:space="preserve">Familiarity with AI model/tooling</t>
  </si>
  <si>
    <t xml:space="preserve">E2</t>
  </si>
  <si>
    <t xml:space="preserve">Part-time participation / context switching</t>
  </si>
  <si>
    <t xml:space="preserve">E3</t>
  </si>
  <si>
    <t xml:space="preserve">Analyst / prompt engineering experience</t>
  </si>
  <si>
    <t xml:space="preserve">E4</t>
  </si>
  <si>
    <t xml:space="preserve">Lead developer application experience</t>
  </si>
  <si>
    <t xml:space="preserve">E5</t>
  </si>
  <si>
    <t xml:space="preserve">Motivation of team</t>
  </si>
  <si>
    <t xml:space="preserve">E6</t>
  </si>
  <si>
    <t xml:space="preserve">Stability of requirements</t>
  </si>
  <si>
    <t xml:space="preserve">E7</t>
  </si>
  <si>
    <t xml:space="preserve">Part-time users / product owners</t>
  </si>
  <si>
    <t xml:space="preserve">E8</t>
  </si>
  <si>
    <t xml:space="preserve">Difficulty of stack / language</t>
  </si>
  <si>
    <t xml:space="preserve">AI-Specific Extension Factors</t>
  </si>
  <si>
    <t xml:space="preserve">A1</t>
  </si>
  <si>
    <t xml:space="preserve">AI model tier (Opus=5, Sonnet=3, Haiku=1)</t>
  </si>
  <si>
    <t xml:space="preserve">A2</t>
  </si>
  <si>
    <t xml:space="preserve">Prompt maturity (mature=5, first use=1)</t>
  </si>
  <si>
    <t xml:space="preserve">A3</t>
  </si>
  <si>
    <t xml:space="preserve">Hallucination risk (low=5, high=1)</t>
  </si>
  <si>
    <t xml:space="preserve">A4</t>
  </si>
  <si>
    <t xml:space="preserve">Context window pressure (large=5, small=1)</t>
  </si>
  <si>
    <t xml:space="preserve">A5</t>
  </si>
  <si>
    <t xml:space="preserve">AI code rework rate (41% baseline = rating 3)</t>
  </si>
  <si>
    <t xml:space="preserve">ECF Base</t>
  </si>
  <si>
    <t xml:space="preserve">AI Adjustment</t>
  </si>
  <si>
    <t xml:space="preserve">ECF Final = Base × AI Adj</t>
  </si>
  <si>
    <t xml:space="preserve">→ Paste ECF Final value into '1-Setup'!B10 combined multiplier cell after multiplying by TCF Final</t>
  </si>
  <si>
    <t xml:space="preserve">Technical Complexity Factors (TCF)</t>
  </si>
  <si>
    <t xml:space="preserve">T1</t>
  </si>
  <si>
    <t xml:space="preserve">Distributed system / microservices</t>
  </si>
  <si>
    <t xml:space="preserve">T2</t>
  </si>
  <si>
    <t xml:space="preserve">Response time / performance requirements</t>
  </si>
  <si>
    <t xml:space="preserve">T3</t>
  </si>
  <si>
    <t xml:space="preserve">End-user efficiency (optimized UX)</t>
  </si>
  <si>
    <t xml:space="preserve">T4</t>
  </si>
  <si>
    <t xml:space="preserve">Complex internal processing / algorithms</t>
  </si>
  <si>
    <t xml:space="preserve">T5</t>
  </si>
  <si>
    <t xml:space="preserve">Code reusability requirement</t>
  </si>
  <si>
    <t xml:space="preserve">T6</t>
  </si>
  <si>
    <t xml:space="preserve">Easy to install / deploy</t>
  </si>
  <si>
    <t xml:space="preserve">T7</t>
  </si>
  <si>
    <t xml:space="preserve">Easy to use (usability target)</t>
  </si>
  <si>
    <t xml:space="preserve">T8</t>
  </si>
  <si>
    <t xml:space="preserve">Portability across platforms</t>
  </si>
  <si>
    <t xml:space="preserve">T9</t>
  </si>
  <si>
    <t xml:space="preserve">Maintainability / easy to change</t>
  </si>
  <si>
    <t xml:space="preserve">T10</t>
  </si>
  <si>
    <t xml:space="preserve">Concurrent use / multi-user</t>
  </si>
  <si>
    <t xml:space="preserve">T11</t>
  </si>
  <si>
    <t xml:space="preserve">Security features</t>
  </si>
  <si>
    <t xml:space="preserve">T12</t>
  </si>
  <si>
    <t xml:space="preserve">Third-party API / direct access</t>
  </si>
  <si>
    <t xml:space="preserve">T13</t>
  </si>
  <si>
    <t xml:space="preserve">Special user training required</t>
  </si>
  <si>
    <t xml:space="preserve">TCF Final</t>
  </si>
  <si>
    <t xml:space="preserve">ECF Final (from ECF tab)</t>
  </si>
  <si>
    <t xml:space="preserve">Combined Multiplier (ECF × TCF)</t>
  </si>
  <si>
    <t xml:space="preserve">→ Copy Combined Multiplier to '1-Setup'!B10</t>
  </si>
  <si>
    <t xml:space="preserve">Rough Estimates — Level 1 Token Budget &amp; Duration</t>
  </si>
  <si>
    <t xml:space="preserve">Scenarios (count)</t>
  </si>
  <si>
    <t xml:space="preserve">SP Total</t>
  </si>
  <si>
    <t xml:space="preserve">Tokens Min (K)</t>
  </si>
  <si>
    <t xml:space="preserve">Tokens Exp (K)</t>
  </si>
  <si>
    <t xml:space="preserve">Tokens Max (K)</t>
  </si>
  <si>
    <t xml:space="preserve">Duration Min (days)</t>
  </si>
  <si>
    <t xml:space="preserve">Duration Exp (days)</t>
  </si>
  <si>
    <t xml:space="preserve">Duration Max (days)</t>
  </si>
  <si>
    <t xml:space="preserve">Phase</t>
  </si>
  <si>
    <t xml:space="preserve">Calibration</t>
  </si>
  <si>
    <t xml:space="preserve">Cumul Tokens Exp (K)</t>
  </si>
  <si>
    <t xml:space="preserve">PROJECT TOTAL</t>
  </si>
  <si>
    <t xml:space="preserve">Monte Carlo Simulation — P50 / P80 / P95 Forecasts</t>
  </si>
  <si>
    <t xml:space="preserve">SIMULATION PARAMETERS</t>
  </si>
  <si>
    <t xml:space="preserve">Iterations</t>
  </si>
  <si>
    <t xml:space="preserve">Scenarios (from Scenario List)</t>
  </si>
  <si>
    <t xml:space="preserve">Distribution Type</t>
  </si>
  <si>
    <t xml:space="preserve">Triangular</t>
  </si>
  <si>
    <t xml:space="preserve">Sprint Dependency</t>
  </si>
  <si>
    <t xml:space="preserve">Sequential</t>
  </si>
  <si>
    <t xml:space="preserve">Daily Throughput (K tokens)</t>
  </si>
  <si>
    <t xml:space="preserve">Combined Multiplier</t>
  </si>
  <si>
    <t xml:space="preserve">SIMULATION RESULTS  (run VBA macro: Alt+F8 → RunMonteCarloSimulation)</t>
  </si>
  <si>
    <t xml:space="preserve">Percentile</t>
  </si>
  <si>
    <t xml:space="preserve">Probability</t>
  </si>
  <si>
    <t xml:space="preserve">Token Budget (K)</t>
  </si>
  <si>
    <t xml:space="preserve">Token Budget ($)</t>
  </si>
  <si>
    <t xml:space="preserve">Duration (days)</t>
  </si>
  <si>
    <t xml:space="preserve">Est. Completion Date</t>
  </si>
  <si>
    <t xml:space="preserve">P10</t>
  </si>
  <si>
    <t xml:space="preserve">10%</t>
  </si>
  <si>
    <t xml:space="preserve">P50 — Median</t>
  </si>
  <si>
    <t xml:space="preserve">50%</t>
  </si>
  <si>
    <t xml:space="preserve">P80 — Planning Target ★</t>
  </si>
  <si>
    <t xml:space="preserve">80%</t>
  </si>
  <si>
    <t xml:space="preserve">P95 — Conservative Commitment</t>
  </si>
  <si>
    <t xml:space="preserve">95%</t>
  </si>
  <si>
    <t xml:space="preserve">EBS CHART — Release Date Certainty  (auto-populated by VBA macro)</t>
  </si>
  <si>
    <t xml:space="preserve">The VBA macro will generate two S-curve charts here:
  Curve 1: Token Budget Certainty (x = K tokens, y = probability of completion)
  Curve 2: Duration Certainty (x = calendar date, y = probability of on-time delivery)
To run the simulation manually without VBA:
  1. Copy Scenario List PERT triplets (cols G, H, I) to a simulation tool
  2. Use =NORM.INV(RAND(), expected, (max-min)/6) for each scenario
  3. Sum 10,000 samples per iteration
  4. Sort totals ascending and read off P50, P80, P95 positions</t>
  </si>
  <si>
    <t xml:space="preserve">Work Breakdown Structure — Level 2 Decomposition (requires SAO.md)</t>
  </si>
  <si>
    <t xml:space="preserve">Sprint</t>
  </si>
  <si>
    <t xml:space="preserve">Work Package #</t>
  </si>
  <si>
    <t xml:space="preserve">Artifact Type</t>
  </si>
  <si>
    <t xml:space="preserve">BPE Activity</t>
  </si>
  <si>
    <t xml:space="preserve">Reuse Flag</t>
  </si>
  <si>
    <t xml:space="preserve">Reuse Mult.</t>
  </si>
  <si>
    <t xml:space="preserve">WP Min (K)</t>
  </si>
  <si>
    <t xml:space="preserve">WP Exp (K)</t>
  </si>
  <si>
    <t xml:space="preserve">WP Max (K)</t>
  </si>
  <si>
    <t xml:space="preserve">Adj Min</t>
  </si>
  <si>
    <t xml:space="preserve">Adj Exp</t>
  </si>
  <si>
    <t xml:space="preserve">Adj Max</t>
  </si>
  <si>
    <t xml:space="preserve">WP-01</t>
  </si>
  <si>
    <t xml:space="preserve">Django Model + Admin</t>
  </si>
  <si>
    <t xml:space="preserve">BPE-02</t>
  </si>
  <si>
    <t xml:space="preserve">NEW</t>
  </si>
  <si>
    <t xml:space="preserve">WP-02</t>
  </si>
  <si>
    <t xml:space="preserve">Repository Methods</t>
  </si>
  <si>
    <t xml:space="preserve">WP-03</t>
  </si>
  <si>
    <t xml:space="preserve">Service Layer</t>
  </si>
  <si>
    <t xml:space="preserve">WP-04</t>
  </si>
  <si>
    <t xml:space="preserve">Django View + URL</t>
  </si>
  <si>
    <t xml:space="preserve">WP-05</t>
  </si>
  <si>
    <t xml:space="preserve">Unit + Integration Tests</t>
  </si>
  <si>
    <t xml:space="preserve">WP-06</t>
  </si>
  <si>
    <t xml:space="preserve">Django Template + HTMX</t>
  </si>
  <si>
    <t xml:space="preserve">BPE-03</t>
  </si>
  <si>
    <t xml:space="preserve">WP-07</t>
  </si>
  <si>
    <t xml:space="preserve">Template Partials</t>
  </si>
  <si>
    <t xml:space="preserve">WP-08</t>
  </si>
  <si>
    <t xml:space="preserve">Feature Acceptance Tests</t>
  </si>
  <si>
    <t xml:space="preserve">BPE-04</t>
  </si>
  <si>
    <t xml:space="preserve">WP-09</t>
  </si>
  <si>
    <t xml:space="preserve">Journey Certification Tests</t>
  </si>
  <si>
    <t xml:space="preserve">BPE-05</t>
  </si>
  <si>
    <t xml:space="preserve">WP-10</t>
  </si>
  <si>
    <t xml:space="preserve">DoD Checklist Review</t>
  </si>
  <si>
    <t xml:space="preserve">BPE-06</t>
  </si>
  <si>
    <t xml:space="preserve">WP-11</t>
  </si>
  <si>
    <t xml:space="preserve">E2E Tests + PR</t>
  </si>
  <si>
    <t xml:space="preserve">BPE-07</t>
  </si>
  <si>
    <t xml:space="preserve">WP-12</t>
  </si>
  <si>
    <t xml:space="preserve">Implementation Plan</t>
  </si>
  <si>
    <t xml:space="preserve">BPE-01</t>
  </si>
  <si>
    <t xml:space="preserve">SCENARIO TOTAL</t>
  </si>
  <si>
    <t xml:space="preserve">Detailed Estimates — Level 2 Scenario Aggregates &amp; Actuals</t>
  </si>
  <si>
    <t xml:space="preserve">SP</t>
  </si>
  <si>
    <t xml:space="preserve">L2 Min (K)</t>
  </si>
  <si>
    <t xml:space="preserve">L2 Exp (K)</t>
  </si>
  <si>
    <t xml:space="preserve">L2 Max (K)</t>
  </si>
  <si>
    <t xml:space="preserve">L1 Exp (K)</t>
  </si>
  <si>
    <t xml:space="preserve">L1/L2 Delta %</t>
  </si>
  <si>
    <t xml:space="preserve">Actual Tokens (K)</t>
  </si>
  <si>
    <t xml:space="preserve">Velocity Factor</t>
  </si>
  <si>
    <t xml:space="preserve">Confidence</t>
  </si>
  <si>
    <t xml:space="preserve">PLANNED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</si>
</sst>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"/>
    <numFmt numFmtId="167" formatCode="#,##0.00"/>
    <numFmt numFmtId="168" formatCode="#,##0.000"/>
    <numFmt numFmtId="169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D3D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D3D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55555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D3D"/>
        <bgColor rgb="FF2E4057"/>
      </patternFill>
    </fill>
    <fill>
      <patternFill patternType="solid">
        <fgColor rgb="FF048A81"/>
        <bgColor rgb="FF008080"/>
      </patternFill>
    </fill>
    <fill>
      <patternFill patternType="solid">
        <fgColor rgb="FFFFFDE7"/>
        <bgColor rgb="FFF8F9FA"/>
      </patternFill>
    </fill>
    <fill>
      <patternFill patternType="solid">
        <fgColor rgb="FFE3F2FD"/>
        <bgColor rgb="FFE8F5E9"/>
      </patternFill>
    </fill>
    <fill>
      <patternFill patternType="solid">
        <fgColor rgb="FF54C6EB"/>
        <bgColor rgb="FF99CCFF"/>
      </patternFill>
    </fill>
    <fill>
      <patternFill patternType="solid">
        <fgColor rgb="FFF4A261"/>
        <bgColor rgb="FFFF9900"/>
      </patternFill>
    </fill>
    <fill>
      <patternFill patternType="solid">
        <fgColor rgb="FFE8F5E9"/>
        <bgColor rgb="FFE3F2FD"/>
      </patternFill>
    </fill>
    <fill>
      <patternFill patternType="solid">
        <fgColor rgb="FF2E4057"/>
        <bgColor rgb="FF1F2D3D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BDBDBD"/>
      <rgbColor rgb="FF888888"/>
      <rgbColor rgb="FF9999FF"/>
      <rgbColor rgb="FF993366"/>
      <rgbColor rgb="FFFFFDE7"/>
      <rgbColor rgb="FFE3F2FD"/>
      <rgbColor rgb="FF660066"/>
      <rgbColor rgb="FFF4A26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8F9FA"/>
      <rgbColor rgb="FFFFFF99"/>
      <rgbColor rgb="FF99CCFF"/>
      <rgbColor rgb="FFFF99CC"/>
      <rgbColor rgb="FFCC99FF"/>
      <rgbColor rgb="FFFFCC99"/>
      <rgbColor rgb="FF3366FF"/>
      <rgbColor rgb="FF54C6EB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4057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18"/>
    <col collapsed="false" customWidth="true" hidden="false" outlineLevel="0" max="6" min="6" style="0" width="16"/>
    <col collapsed="false" customWidth="true" hidden="false" outlineLevel="0" max="7" min="7" style="0" width="35"/>
    <col collapsed="false" customWidth="true" hidden="false" outlineLevel="0" max="10" min="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3" t="s">
        <v>3</v>
      </c>
      <c r="B5" s="4" t="n">
        <v>1</v>
      </c>
    </row>
    <row r="6" customFormat="false" ht="15" hidden="false" customHeight="false" outlineLevel="0" collapsed="false">
      <c r="A6" s="3" t="s">
        <v>4</v>
      </c>
      <c r="B6" s="4" t="n">
        <v>1500</v>
      </c>
    </row>
    <row r="7" customFormat="false" ht="23.85" hidden="false" customHeight="false" outlineLevel="0" collapsed="false">
      <c r="A7" s="3" t="s">
        <v>5</v>
      </c>
      <c r="B7" s="4" t="s">
        <v>6</v>
      </c>
    </row>
    <row r="8" customFormat="false" ht="23.85" hidden="false" customHeight="false" outlineLevel="0" collapsed="false">
      <c r="A8" s="3" t="s">
        <v>7</v>
      </c>
      <c r="B8" s="4" t="n">
        <v>1.4</v>
      </c>
    </row>
    <row r="9" customFormat="false" ht="15" hidden="false" customHeight="false" outlineLevel="0" collapsed="false">
      <c r="A9" s="3" t="s">
        <v>8</v>
      </c>
      <c r="B9" s="4" t="n">
        <v>0.12</v>
      </c>
    </row>
    <row r="10" customFormat="false" ht="23.85" hidden="false" customHeight="false" outlineLevel="0" collapsed="false">
      <c r="A10" s="3" t="s">
        <v>9</v>
      </c>
      <c r="B10" s="4"/>
    </row>
    <row r="11" customFormat="false" ht="23.85" hidden="false" customHeight="false" outlineLevel="0" collapsed="false">
      <c r="A11" s="3" t="s">
        <v>10</v>
      </c>
      <c r="B11" s="4" t="s">
        <v>11</v>
      </c>
    </row>
    <row r="12" customFormat="false" ht="15" hidden="false" customHeight="false" outlineLevel="0" collapsed="false">
      <c r="A12" s="3" t="s">
        <v>12</v>
      </c>
      <c r="B12" s="4" t="n">
        <v>0.5</v>
      </c>
    </row>
    <row r="13" customFormat="false" ht="15" hidden="false" customHeight="false" outlineLevel="0" collapsed="false">
      <c r="A13" s="3" t="s">
        <v>13</v>
      </c>
      <c r="B13" s="4" t="n">
        <v>2</v>
      </c>
    </row>
    <row r="15" customFormat="false" ht="15" hidden="false" customHeight="true" outlineLevel="0" collapsed="false">
      <c r="A15" s="2" t="s">
        <v>14</v>
      </c>
      <c r="B15" s="2"/>
      <c r="C15" s="2"/>
      <c r="D15" s="2"/>
      <c r="E15" s="2"/>
      <c r="F15" s="2"/>
      <c r="G15" s="2"/>
      <c r="H15" s="2"/>
      <c r="I15" s="2"/>
      <c r="J15" s="2"/>
    </row>
    <row r="16" customFormat="false" ht="26.85" hidden="false" customHeight="false" outlineLevel="0" collapsed="false">
      <c r="A16" s="5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</row>
    <row r="17" customFormat="false" ht="15" hidden="false" customHeight="false" outlineLevel="0" collapsed="false">
      <c r="A17" s="3" t="s">
        <v>22</v>
      </c>
      <c r="B17" s="6" t="n">
        <v>0.5</v>
      </c>
      <c r="C17" s="7" t="n">
        <v>15</v>
      </c>
      <c r="D17" s="7" t="n">
        <v>25</v>
      </c>
      <c r="E17" s="7" t="n">
        <v>40</v>
      </c>
      <c r="F17" s="3" t="s">
        <v>23</v>
      </c>
      <c r="G17" s="3" t="s">
        <v>24</v>
      </c>
    </row>
    <row r="18" customFormat="false" ht="15" hidden="false" customHeight="false" outlineLevel="0" collapsed="false">
      <c r="A18" s="3" t="s">
        <v>25</v>
      </c>
      <c r="B18" s="6" t="n">
        <v>1</v>
      </c>
      <c r="C18" s="7" t="n">
        <v>30</v>
      </c>
      <c r="D18" s="7" t="n">
        <v>50</v>
      </c>
      <c r="E18" s="7" t="n">
        <v>80</v>
      </c>
      <c r="F18" s="3" t="s">
        <v>23</v>
      </c>
      <c r="G18" s="3" t="s">
        <v>26</v>
      </c>
    </row>
    <row r="19" customFormat="false" ht="15" hidden="false" customHeight="false" outlineLevel="0" collapsed="false">
      <c r="A19" s="3" t="s">
        <v>27</v>
      </c>
      <c r="B19" s="6" t="n">
        <v>2</v>
      </c>
      <c r="C19" s="7" t="n">
        <v>70</v>
      </c>
      <c r="D19" s="7" t="n">
        <v>110</v>
      </c>
      <c r="E19" s="7" t="n">
        <v>180</v>
      </c>
      <c r="F19" s="3" t="s">
        <v>23</v>
      </c>
      <c r="G19" s="3" t="s">
        <v>28</v>
      </c>
    </row>
    <row r="20" customFormat="false" ht="15" hidden="false" customHeight="false" outlineLevel="0" collapsed="false">
      <c r="A20" s="3" t="s">
        <v>29</v>
      </c>
      <c r="B20" s="6" t="n">
        <v>5</v>
      </c>
      <c r="C20" s="7" t="n">
        <v>180</v>
      </c>
      <c r="D20" s="7" t="n">
        <v>290</v>
      </c>
      <c r="E20" s="7" t="n">
        <v>480</v>
      </c>
      <c r="F20" s="3" t="s">
        <v>23</v>
      </c>
      <c r="G20" s="3" t="s">
        <v>30</v>
      </c>
    </row>
    <row r="21" customFormat="false" ht="23.85" hidden="false" customHeight="false" outlineLevel="0" collapsed="false">
      <c r="A21" s="3" t="s">
        <v>31</v>
      </c>
      <c r="B21" s="6" t="n">
        <v>8</v>
      </c>
      <c r="C21" s="7" t="n">
        <v>320</v>
      </c>
      <c r="D21" s="7" t="n">
        <v>520</v>
      </c>
      <c r="E21" s="7" t="n">
        <v>850</v>
      </c>
      <c r="F21" s="3" t="s">
        <v>23</v>
      </c>
      <c r="G21" s="3" t="s">
        <v>32</v>
      </c>
    </row>
    <row r="23" customFormat="false" ht="15" hidden="false" customHeight="true" outlineLevel="0" collapsed="false">
      <c r="A23" s="2" t="s">
        <v>33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26.85" hidden="false" customHeight="false" outlineLevel="0" collapsed="false">
      <c r="A24" s="5" t="s">
        <v>34</v>
      </c>
      <c r="B24" s="5" t="s">
        <v>35</v>
      </c>
      <c r="C24" s="5" t="s">
        <v>36</v>
      </c>
      <c r="D24" s="5" t="s">
        <v>37</v>
      </c>
      <c r="E24" s="5" t="s">
        <v>38</v>
      </c>
    </row>
    <row r="25" customFormat="false" ht="15" hidden="false" customHeight="false" outlineLevel="0" collapsed="false">
      <c r="A25" s="7" t="n">
        <v>1</v>
      </c>
      <c r="B25" s="6"/>
      <c r="C25" s="8" t="n">
        <f aca="false">IFERROR(B25*VLOOKUP("M",$A$17:$E$21,4,FALSE()),"")</f>
        <v>0</v>
      </c>
      <c r="D25" s="8" t="n">
        <f aca="false">IFERROR(B25*VLOOKUP("M",$A$17:$E$21,5,FALSE()),"")</f>
        <v>0</v>
      </c>
      <c r="E25" s="3"/>
    </row>
    <row r="26" customFormat="false" ht="15" hidden="false" customHeight="false" outlineLevel="0" collapsed="false">
      <c r="A26" s="7" t="n">
        <v>2</v>
      </c>
      <c r="B26" s="6"/>
      <c r="C26" s="8" t="n">
        <f aca="false">IFERROR(B26*VLOOKUP("M",$A$17:$E$21,4,FALSE()),"")</f>
        <v>0</v>
      </c>
      <c r="D26" s="8" t="n">
        <f aca="false">IFERROR(B26*VLOOKUP("M",$A$17:$E$21,5,FALSE()),"")</f>
        <v>0</v>
      </c>
      <c r="E26" s="3"/>
    </row>
    <row r="27" customFormat="false" ht="15" hidden="false" customHeight="false" outlineLevel="0" collapsed="false">
      <c r="A27" s="7" t="n">
        <v>3</v>
      </c>
      <c r="B27" s="6"/>
      <c r="C27" s="8" t="n">
        <f aca="false">IFERROR(B27*VLOOKUP("M",$A$17:$E$21,4,FALSE()),"")</f>
        <v>0</v>
      </c>
      <c r="D27" s="8" t="n">
        <f aca="false">IFERROR(B27*VLOOKUP("M",$A$17:$E$21,5,FALSE()),"")</f>
        <v>0</v>
      </c>
      <c r="E27" s="3"/>
    </row>
    <row r="28" customFormat="false" ht="15" hidden="false" customHeight="false" outlineLevel="0" collapsed="false">
      <c r="A28" s="7" t="n">
        <v>4</v>
      </c>
      <c r="B28" s="6"/>
      <c r="C28" s="8" t="n">
        <f aca="false">IFERROR(B28*VLOOKUP("M",$A$17:$E$21,4,FALSE()),"")</f>
        <v>0</v>
      </c>
      <c r="D28" s="8" t="n">
        <f aca="false">IFERROR(B28*VLOOKUP("M",$A$17:$E$21,5,FALSE()),"")</f>
        <v>0</v>
      </c>
      <c r="E28" s="3"/>
    </row>
    <row r="29" customFormat="false" ht="15" hidden="false" customHeight="false" outlineLevel="0" collapsed="false">
      <c r="A29" s="7" t="n">
        <v>5</v>
      </c>
      <c r="B29" s="6"/>
      <c r="C29" s="8" t="n">
        <f aca="false">IFERROR(B29*VLOOKUP("M",$A$17:$E$21,4,FALSE()),"")</f>
        <v>0</v>
      </c>
      <c r="D29" s="8" t="n">
        <f aca="false">IFERROR(B29*VLOOKUP("M",$A$17:$E$21,5,FALSE()),"")</f>
        <v>0</v>
      </c>
      <c r="E29" s="3"/>
    </row>
    <row r="30" customFormat="false" ht="15" hidden="false" customHeight="false" outlineLevel="0" collapsed="false">
      <c r="A30" s="7" t="n">
        <v>6</v>
      </c>
      <c r="B30" s="6"/>
      <c r="C30" s="8" t="n">
        <f aca="false">IFERROR(B30*VLOOKUP("M",$A$17:$E$21,4,FALSE()),"")</f>
        <v>0</v>
      </c>
      <c r="D30" s="8" t="n">
        <f aca="false">IFERROR(B30*VLOOKUP("M",$A$17:$E$21,5,FALSE()),"")</f>
        <v>0</v>
      </c>
      <c r="E30" s="3"/>
    </row>
    <row r="31" customFormat="false" ht="15" hidden="false" customHeight="false" outlineLevel="0" collapsed="false">
      <c r="A31" s="7" t="n">
        <v>7</v>
      </c>
      <c r="B31" s="6"/>
      <c r="C31" s="8" t="n">
        <f aca="false">IFERROR(B31*VLOOKUP("M",$A$17:$E$21,4,FALSE()),"")</f>
        <v>0</v>
      </c>
      <c r="D31" s="8" t="n">
        <f aca="false">IFERROR(B31*VLOOKUP("M",$A$17:$E$21,5,FALSE()),"")</f>
        <v>0</v>
      </c>
      <c r="E31" s="3"/>
    </row>
    <row r="32" customFormat="false" ht="15" hidden="false" customHeight="false" outlineLevel="0" collapsed="false">
      <c r="A32" s="7" t="n">
        <v>8</v>
      </c>
      <c r="B32" s="6"/>
      <c r="C32" s="8" t="n">
        <f aca="false">IFERROR(B32*VLOOKUP("M",$A$17:$E$21,4,FALSE()),"")</f>
        <v>0</v>
      </c>
      <c r="D32" s="8" t="n">
        <f aca="false">IFERROR(B32*VLOOKUP("M",$A$17:$E$21,5,FALSE()),"")</f>
        <v>0</v>
      </c>
      <c r="E32" s="3"/>
    </row>
  </sheetData>
  <mergeCells count="4">
    <mergeCell ref="A1:J1"/>
    <mergeCell ref="A3:J3"/>
    <mergeCell ref="A15:J15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9" min="6" style="0" width="10"/>
    <col collapsed="false" customWidth="true" hidden="false" outlineLevel="0" max="12" min="10" style="0" width="12"/>
    <col collapsed="false" customWidth="true" hidden="false" outlineLevel="0" max="13" min="13" style="0" width="10"/>
    <col collapsed="false" customWidth="true" hidden="false" outlineLevel="0" max="14" min="14" style="0" width="30"/>
  </cols>
  <sheetData>
    <row r="1" customFormat="false" ht="27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9.55" hidden="false" customHeight="false" outlineLevel="0" collapsed="false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16</v>
      </c>
      <c r="G2" s="5" t="s">
        <v>45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34</v>
      </c>
      <c r="N2" s="5" t="s">
        <v>51</v>
      </c>
    </row>
    <row r="3" customFormat="false" ht="15" hidden="false" customHeight="false" outlineLevel="0" collapsed="false">
      <c r="A3" s="4"/>
      <c r="B3" s="4"/>
      <c r="C3" s="4"/>
      <c r="D3" s="4"/>
      <c r="E3" s="4" t="s">
        <v>27</v>
      </c>
      <c r="F3" s="9" t="n">
        <f aca="false">IFERROR(VLOOKUP(E3,'1-Setup'!A17:B21,2,FALSE()),"")</f>
        <v>2</v>
      </c>
      <c r="G3" s="8" t="n">
        <f aca="false">IFERROR(VLOOKUP(E3,'1-Setup'!A17:C21,3,FALSE()),"")</f>
        <v>70</v>
      </c>
      <c r="H3" s="8" t="n">
        <f aca="false">IFERROR(VLOOKUP(E3,'1-Setup'!A17:D21,4,FALSE()),"")</f>
        <v>110</v>
      </c>
      <c r="I3" s="8" t="n">
        <f aca="false">IFERROR(VLOOKUP(E3,'1-Setup'!A17:E21,5,FALSE()),"")</f>
        <v>180</v>
      </c>
      <c r="J3" s="8" t="n">
        <f aca="false">IFERROR(G3*F3*'1-Setup'!B10*0.85,"")</f>
        <v>0</v>
      </c>
      <c r="K3" s="8" t="n">
        <f aca="false">IFERROR(H3*F3*'1-Setup'!B10,"")</f>
        <v>0</v>
      </c>
      <c r="L3" s="8" t="n">
        <f aca="false">IFERROR(I3*F3*'1-Setup'!B10*1.15,"")</f>
        <v>0</v>
      </c>
      <c r="M3" s="4"/>
      <c r="N3" s="4"/>
    </row>
    <row r="4" customFormat="false" ht="15" hidden="false" customHeight="false" outlineLevel="0" collapsed="false">
      <c r="A4" s="4"/>
      <c r="B4" s="4"/>
      <c r="C4" s="4"/>
      <c r="D4" s="4"/>
      <c r="E4" s="4" t="s">
        <v>27</v>
      </c>
      <c r="F4" s="9" t="n">
        <f aca="false">IFERROR(VLOOKUP(E4,'1-Setup'!A17:B21,2,FALSE()),"")</f>
        <v>2</v>
      </c>
      <c r="G4" s="8" t="n">
        <f aca="false">IFERROR(VLOOKUP(E4,'1-Setup'!A17:C21,3,FALSE()),"")</f>
        <v>70</v>
      </c>
      <c r="H4" s="8" t="n">
        <f aca="false">IFERROR(VLOOKUP(E4,'1-Setup'!A17:D21,4,FALSE()),"")</f>
        <v>110</v>
      </c>
      <c r="I4" s="8" t="n">
        <f aca="false">IFERROR(VLOOKUP(E4,'1-Setup'!A17:E21,5,FALSE()),"")</f>
        <v>180</v>
      </c>
      <c r="J4" s="8" t="n">
        <f aca="false">IFERROR(G4*F4*'1-Setup'!B10*0.85,"")</f>
        <v>0</v>
      </c>
      <c r="K4" s="8" t="n">
        <f aca="false">IFERROR(H4*F4*'1-Setup'!B10,"")</f>
        <v>0</v>
      </c>
      <c r="L4" s="8" t="n">
        <f aca="false">IFERROR(I4*F4*'1-Setup'!B10*1.15,"")</f>
        <v>0</v>
      </c>
      <c r="M4" s="4"/>
      <c r="N4" s="4"/>
    </row>
    <row r="5" customFormat="false" ht="15" hidden="false" customHeight="false" outlineLevel="0" collapsed="false">
      <c r="A5" s="4"/>
      <c r="B5" s="4"/>
      <c r="C5" s="4"/>
      <c r="D5" s="4"/>
      <c r="E5" s="4" t="s">
        <v>27</v>
      </c>
      <c r="F5" s="9" t="n">
        <f aca="false">IFERROR(VLOOKUP(E5,'1-Setup'!A17:B21,2,FALSE()),"")</f>
        <v>2</v>
      </c>
      <c r="G5" s="8" t="n">
        <f aca="false">IFERROR(VLOOKUP(E5,'1-Setup'!A17:C21,3,FALSE()),"")</f>
        <v>70</v>
      </c>
      <c r="H5" s="8" t="n">
        <f aca="false">IFERROR(VLOOKUP(E5,'1-Setup'!A17:D21,4,FALSE()),"")</f>
        <v>110</v>
      </c>
      <c r="I5" s="8" t="n">
        <f aca="false">IFERROR(VLOOKUP(E5,'1-Setup'!A17:E21,5,FALSE()),"")</f>
        <v>180</v>
      </c>
      <c r="J5" s="8" t="n">
        <f aca="false">IFERROR(G5*F5*'1-Setup'!B10*0.85,"")</f>
        <v>0</v>
      </c>
      <c r="K5" s="8" t="n">
        <f aca="false">IFERROR(H5*F5*'1-Setup'!B10,"")</f>
        <v>0</v>
      </c>
      <c r="L5" s="8" t="n">
        <f aca="false">IFERROR(I5*F5*'1-Setup'!B10*1.15,"")</f>
        <v>0</v>
      </c>
      <c r="M5" s="4"/>
      <c r="N5" s="4"/>
    </row>
    <row r="6" customFormat="false" ht="15" hidden="false" customHeight="false" outlineLevel="0" collapsed="false">
      <c r="A6" s="4"/>
      <c r="B6" s="4"/>
      <c r="C6" s="4"/>
      <c r="D6" s="4"/>
      <c r="E6" s="4" t="s">
        <v>27</v>
      </c>
      <c r="F6" s="9" t="n">
        <f aca="false">IFERROR(VLOOKUP(E6,'1-Setup'!A17:B21,2,FALSE()),"")</f>
        <v>2</v>
      </c>
      <c r="G6" s="8" t="n">
        <f aca="false">IFERROR(VLOOKUP(E6,'1-Setup'!A17:C21,3,FALSE()),"")</f>
        <v>70</v>
      </c>
      <c r="H6" s="8" t="n">
        <f aca="false">IFERROR(VLOOKUP(E6,'1-Setup'!A17:D21,4,FALSE()),"")</f>
        <v>110</v>
      </c>
      <c r="I6" s="8" t="n">
        <f aca="false">IFERROR(VLOOKUP(E6,'1-Setup'!A17:E21,5,FALSE()),"")</f>
        <v>180</v>
      </c>
      <c r="J6" s="8" t="n">
        <f aca="false">IFERROR(G6*F6*'1-Setup'!B10*0.85,"")</f>
        <v>0</v>
      </c>
      <c r="K6" s="8" t="n">
        <f aca="false">IFERROR(H6*F6*'1-Setup'!B10,"")</f>
        <v>0</v>
      </c>
      <c r="L6" s="8" t="n">
        <f aca="false">IFERROR(I6*F6*'1-Setup'!B10*1.15,"")</f>
        <v>0</v>
      </c>
      <c r="M6" s="4"/>
      <c r="N6" s="4"/>
    </row>
    <row r="7" customFormat="false" ht="15" hidden="false" customHeight="false" outlineLevel="0" collapsed="false">
      <c r="A7" s="4"/>
      <c r="B7" s="4"/>
      <c r="C7" s="4"/>
      <c r="D7" s="4"/>
      <c r="E7" s="4" t="s">
        <v>27</v>
      </c>
      <c r="F7" s="9" t="n">
        <f aca="false">IFERROR(VLOOKUP(E7,'1-Setup'!A17:B21,2,FALSE()),"")</f>
        <v>2</v>
      </c>
      <c r="G7" s="8" t="n">
        <f aca="false">IFERROR(VLOOKUP(E7,'1-Setup'!A17:C21,3,FALSE()),"")</f>
        <v>70</v>
      </c>
      <c r="H7" s="8" t="n">
        <f aca="false">IFERROR(VLOOKUP(E7,'1-Setup'!A17:D21,4,FALSE()),"")</f>
        <v>110</v>
      </c>
      <c r="I7" s="8" t="n">
        <f aca="false">IFERROR(VLOOKUP(E7,'1-Setup'!A17:E21,5,FALSE()),"")</f>
        <v>180</v>
      </c>
      <c r="J7" s="8" t="n">
        <f aca="false">IFERROR(G7*F7*'1-Setup'!B10*0.85,"")</f>
        <v>0</v>
      </c>
      <c r="K7" s="8" t="n">
        <f aca="false">IFERROR(H7*F7*'1-Setup'!B10,"")</f>
        <v>0</v>
      </c>
      <c r="L7" s="8" t="n">
        <f aca="false">IFERROR(I7*F7*'1-Setup'!B10*1.15,"")</f>
        <v>0</v>
      </c>
      <c r="M7" s="4"/>
      <c r="N7" s="4"/>
    </row>
    <row r="8" customFormat="false" ht="15" hidden="false" customHeight="false" outlineLevel="0" collapsed="false">
      <c r="A8" s="4"/>
      <c r="B8" s="4"/>
      <c r="C8" s="4"/>
      <c r="D8" s="4"/>
      <c r="E8" s="4" t="s">
        <v>27</v>
      </c>
      <c r="F8" s="9" t="n">
        <f aca="false">IFERROR(VLOOKUP(E8,'1-Setup'!A17:B21,2,FALSE()),"")</f>
        <v>2</v>
      </c>
      <c r="G8" s="8" t="n">
        <f aca="false">IFERROR(VLOOKUP(E8,'1-Setup'!A17:C21,3,FALSE()),"")</f>
        <v>70</v>
      </c>
      <c r="H8" s="8" t="n">
        <f aca="false">IFERROR(VLOOKUP(E8,'1-Setup'!A17:D21,4,FALSE()),"")</f>
        <v>110</v>
      </c>
      <c r="I8" s="8" t="n">
        <f aca="false">IFERROR(VLOOKUP(E8,'1-Setup'!A17:E21,5,FALSE()),"")</f>
        <v>180</v>
      </c>
      <c r="J8" s="8" t="n">
        <f aca="false">IFERROR(G8*F8*'1-Setup'!B10*0.85,"")</f>
        <v>0</v>
      </c>
      <c r="K8" s="8" t="n">
        <f aca="false">IFERROR(H8*F8*'1-Setup'!B10,"")</f>
        <v>0</v>
      </c>
      <c r="L8" s="8" t="n">
        <f aca="false">IFERROR(I8*F8*'1-Setup'!B10*1.15,"")</f>
        <v>0</v>
      </c>
      <c r="M8" s="4"/>
      <c r="N8" s="4"/>
    </row>
    <row r="9" customFormat="false" ht="15" hidden="false" customHeight="false" outlineLevel="0" collapsed="false">
      <c r="A9" s="4"/>
      <c r="B9" s="4"/>
      <c r="C9" s="4"/>
      <c r="D9" s="4"/>
      <c r="E9" s="4" t="s">
        <v>27</v>
      </c>
      <c r="F9" s="9" t="n">
        <f aca="false">IFERROR(VLOOKUP(E9,'1-Setup'!A17:B21,2,FALSE()),"")</f>
        <v>2</v>
      </c>
      <c r="G9" s="8" t="n">
        <f aca="false">IFERROR(VLOOKUP(E9,'1-Setup'!A17:C21,3,FALSE()),"")</f>
        <v>70</v>
      </c>
      <c r="H9" s="8" t="n">
        <f aca="false">IFERROR(VLOOKUP(E9,'1-Setup'!A17:D21,4,FALSE()),"")</f>
        <v>110</v>
      </c>
      <c r="I9" s="8" t="n">
        <f aca="false">IFERROR(VLOOKUP(E9,'1-Setup'!A17:E21,5,FALSE()),"")</f>
        <v>180</v>
      </c>
      <c r="J9" s="8" t="n">
        <f aca="false">IFERROR(G9*F9*'1-Setup'!B10*0.85,"")</f>
        <v>0</v>
      </c>
      <c r="K9" s="8" t="n">
        <f aca="false">IFERROR(H9*F9*'1-Setup'!B10,"")</f>
        <v>0</v>
      </c>
      <c r="L9" s="8" t="n">
        <f aca="false">IFERROR(I9*F9*'1-Setup'!B10*1.15,"")</f>
        <v>0</v>
      </c>
      <c r="M9" s="4"/>
      <c r="N9" s="4"/>
    </row>
    <row r="10" customFormat="false" ht="15" hidden="false" customHeight="false" outlineLevel="0" collapsed="false">
      <c r="A10" s="4"/>
      <c r="B10" s="4"/>
      <c r="C10" s="4"/>
      <c r="D10" s="4"/>
      <c r="E10" s="4" t="s">
        <v>27</v>
      </c>
      <c r="F10" s="9" t="n">
        <f aca="false">IFERROR(VLOOKUP(E10,'1-Setup'!A17:B21,2,FALSE()),"")</f>
        <v>2</v>
      </c>
      <c r="G10" s="8" t="n">
        <f aca="false">IFERROR(VLOOKUP(E10,'1-Setup'!A17:C21,3,FALSE()),"")</f>
        <v>70</v>
      </c>
      <c r="H10" s="8" t="n">
        <f aca="false">IFERROR(VLOOKUP(E10,'1-Setup'!A17:D21,4,FALSE()),"")</f>
        <v>110</v>
      </c>
      <c r="I10" s="8" t="n">
        <f aca="false">IFERROR(VLOOKUP(E10,'1-Setup'!A17:E21,5,FALSE()),"")</f>
        <v>180</v>
      </c>
      <c r="J10" s="8" t="n">
        <f aca="false">IFERROR(G10*F10*'1-Setup'!B10*0.85,"")</f>
        <v>0</v>
      </c>
      <c r="K10" s="8" t="n">
        <f aca="false">IFERROR(H10*F10*'1-Setup'!B10,"")</f>
        <v>0</v>
      </c>
      <c r="L10" s="8" t="n">
        <f aca="false">IFERROR(I10*F10*'1-Setup'!B10*1.15,"")</f>
        <v>0</v>
      </c>
      <c r="M10" s="4"/>
      <c r="N10" s="4"/>
    </row>
    <row r="11" customFormat="false" ht="15" hidden="false" customHeight="false" outlineLevel="0" collapsed="false">
      <c r="A11" s="4"/>
      <c r="B11" s="4"/>
      <c r="C11" s="4"/>
      <c r="D11" s="4"/>
      <c r="E11" s="4" t="s">
        <v>27</v>
      </c>
      <c r="F11" s="9" t="n">
        <f aca="false">IFERROR(VLOOKUP(E11,'1-Setup'!A17:B21,2,FALSE()),"")</f>
        <v>2</v>
      </c>
      <c r="G11" s="8" t="n">
        <f aca="false">IFERROR(VLOOKUP(E11,'1-Setup'!A17:C21,3,FALSE()),"")</f>
        <v>70</v>
      </c>
      <c r="H11" s="8" t="n">
        <f aca="false">IFERROR(VLOOKUP(E11,'1-Setup'!A17:D21,4,FALSE()),"")</f>
        <v>110</v>
      </c>
      <c r="I11" s="8" t="n">
        <f aca="false">IFERROR(VLOOKUP(E11,'1-Setup'!A17:E21,5,FALSE()),"")</f>
        <v>180</v>
      </c>
      <c r="J11" s="8" t="n">
        <f aca="false">IFERROR(G11*F11*'1-Setup'!B10*0.85,"")</f>
        <v>0</v>
      </c>
      <c r="K11" s="8" t="n">
        <f aca="false">IFERROR(H11*F11*'1-Setup'!B10,"")</f>
        <v>0</v>
      </c>
      <c r="L11" s="8" t="n">
        <f aca="false">IFERROR(I11*F11*'1-Setup'!B10*1.15,"")</f>
        <v>0</v>
      </c>
      <c r="M11" s="4"/>
      <c r="N11" s="4"/>
    </row>
    <row r="12" customFormat="false" ht="15" hidden="false" customHeight="false" outlineLevel="0" collapsed="false">
      <c r="A12" s="4"/>
      <c r="B12" s="4"/>
      <c r="C12" s="4"/>
      <c r="D12" s="4"/>
      <c r="E12" s="4" t="s">
        <v>27</v>
      </c>
      <c r="F12" s="9" t="n">
        <f aca="false">IFERROR(VLOOKUP(E12,'1-Setup'!A17:B21,2,FALSE()),"")</f>
        <v>2</v>
      </c>
      <c r="G12" s="8" t="n">
        <f aca="false">IFERROR(VLOOKUP(E12,'1-Setup'!A17:C21,3,FALSE()),"")</f>
        <v>70</v>
      </c>
      <c r="H12" s="8" t="n">
        <f aca="false">IFERROR(VLOOKUP(E12,'1-Setup'!A17:D21,4,FALSE()),"")</f>
        <v>110</v>
      </c>
      <c r="I12" s="8" t="n">
        <f aca="false">IFERROR(VLOOKUP(E12,'1-Setup'!A17:E21,5,FALSE()),"")</f>
        <v>180</v>
      </c>
      <c r="J12" s="8" t="n">
        <f aca="false">IFERROR(G12*F12*'1-Setup'!B10*0.85,"")</f>
        <v>0</v>
      </c>
      <c r="K12" s="8" t="n">
        <f aca="false">IFERROR(H12*F12*'1-Setup'!B10,"")</f>
        <v>0</v>
      </c>
      <c r="L12" s="8" t="n">
        <f aca="false">IFERROR(I12*F12*'1-Setup'!B10*1.15,"")</f>
        <v>0</v>
      </c>
      <c r="M12" s="4"/>
      <c r="N12" s="4"/>
    </row>
    <row r="13" customFormat="false" ht="15" hidden="false" customHeight="false" outlineLevel="0" collapsed="false">
      <c r="A13" s="4"/>
      <c r="B13" s="4"/>
      <c r="C13" s="4"/>
      <c r="D13" s="4"/>
      <c r="E13" s="4" t="s">
        <v>27</v>
      </c>
      <c r="F13" s="9" t="n">
        <f aca="false">IFERROR(VLOOKUP(E13,'1-Setup'!A17:B21,2,FALSE()),"")</f>
        <v>2</v>
      </c>
      <c r="G13" s="8" t="n">
        <f aca="false">IFERROR(VLOOKUP(E13,'1-Setup'!A17:C21,3,FALSE()),"")</f>
        <v>70</v>
      </c>
      <c r="H13" s="8" t="n">
        <f aca="false">IFERROR(VLOOKUP(E13,'1-Setup'!A17:D21,4,FALSE()),"")</f>
        <v>110</v>
      </c>
      <c r="I13" s="8" t="n">
        <f aca="false">IFERROR(VLOOKUP(E13,'1-Setup'!A17:E21,5,FALSE()),"")</f>
        <v>180</v>
      </c>
      <c r="J13" s="8" t="n">
        <f aca="false">IFERROR(G13*F13*'1-Setup'!B10*0.85,"")</f>
        <v>0</v>
      </c>
      <c r="K13" s="8" t="n">
        <f aca="false">IFERROR(H13*F13*'1-Setup'!B10,"")</f>
        <v>0</v>
      </c>
      <c r="L13" s="8" t="n">
        <f aca="false">IFERROR(I13*F13*'1-Setup'!B10*1.15,"")</f>
        <v>0</v>
      </c>
      <c r="M13" s="4"/>
      <c r="N13" s="4"/>
    </row>
    <row r="14" customFormat="false" ht="15" hidden="false" customHeight="false" outlineLevel="0" collapsed="false">
      <c r="A14" s="4"/>
      <c r="B14" s="4"/>
      <c r="C14" s="4"/>
      <c r="D14" s="4"/>
      <c r="E14" s="4" t="s">
        <v>27</v>
      </c>
      <c r="F14" s="9" t="n">
        <f aca="false">IFERROR(VLOOKUP(E14,'1-Setup'!A17:B21,2,FALSE()),"")</f>
        <v>2</v>
      </c>
      <c r="G14" s="8" t="n">
        <f aca="false">IFERROR(VLOOKUP(E14,'1-Setup'!A17:C21,3,FALSE()),"")</f>
        <v>70</v>
      </c>
      <c r="H14" s="8" t="n">
        <f aca="false">IFERROR(VLOOKUP(E14,'1-Setup'!A17:D21,4,FALSE()),"")</f>
        <v>110</v>
      </c>
      <c r="I14" s="8" t="n">
        <f aca="false">IFERROR(VLOOKUP(E14,'1-Setup'!A17:E21,5,FALSE()),"")</f>
        <v>180</v>
      </c>
      <c r="J14" s="8" t="n">
        <f aca="false">IFERROR(G14*F14*'1-Setup'!B10*0.85,"")</f>
        <v>0</v>
      </c>
      <c r="K14" s="8" t="n">
        <f aca="false">IFERROR(H14*F14*'1-Setup'!B10,"")</f>
        <v>0</v>
      </c>
      <c r="L14" s="8" t="n">
        <f aca="false">IFERROR(I14*F14*'1-Setup'!B10*1.15,"")</f>
        <v>0</v>
      </c>
      <c r="M14" s="4"/>
      <c r="N14" s="4"/>
    </row>
    <row r="15" customFormat="false" ht="15" hidden="false" customHeight="false" outlineLevel="0" collapsed="false">
      <c r="A15" s="4"/>
      <c r="B15" s="4"/>
      <c r="C15" s="4"/>
      <c r="D15" s="4"/>
      <c r="E15" s="4" t="s">
        <v>27</v>
      </c>
      <c r="F15" s="9" t="n">
        <f aca="false">IFERROR(VLOOKUP(E15,'1-Setup'!A17:B21,2,FALSE()),"")</f>
        <v>2</v>
      </c>
      <c r="G15" s="8" t="n">
        <f aca="false">IFERROR(VLOOKUP(E15,'1-Setup'!A17:C21,3,FALSE()),"")</f>
        <v>70</v>
      </c>
      <c r="H15" s="8" t="n">
        <f aca="false">IFERROR(VLOOKUP(E15,'1-Setup'!A17:D21,4,FALSE()),"")</f>
        <v>110</v>
      </c>
      <c r="I15" s="8" t="n">
        <f aca="false">IFERROR(VLOOKUP(E15,'1-Setup'!A17:E21,5,FALSE()),"")</f>
        <v>180</v>
      </c>
      <c r="J15" s="8" t="n">
        <f aca="false">IFERROR(G15*F15*'1-Setup'!B10*0.85,"")</f>
        <v>0</v>
      </c>
      <c r="K15" s="8" t="n">
        <f aca="false">IFERROR(H15*F15*'1-Setup'!B10,"")</f>
        <v>0</v>
      </c>
      <c r="L15" s="8" t="n">
        <f aca="false">IFERROR(I15*F15*'1-Setup'!B10*1.15,"")</f>
        <v>0</v>
      </c>
      <c r="M15" s="4"/>
      <c r="N15" s="4"/>
    </row>
    <row r="16" customFormat="false" ht="15" hidden="false" customHeight="false" outlineLevel="0" collapsed="false">
      <c r="A16" s="4"/>
      <c r="B16" s="4"/>
      <c r="C16" s="4"/>
      <c r="D16" s="4"/>
      <c r="E16" s="4" t="s">
        <v>27</v>
      </c>
      <c r="F16" s="9" t="n">
        <f aca="false">IFERROR(VLOOKUP(E16,'1-Setup'!A17:B21,2,FALSE()),"")</f>
        <v>2</v>
      </c>
      <c r="G16" s="8" t="n">
        <f aca="false">IFERROR(VLOOKUP(E16,'1-Setup'!A17:C21,3,FALSE()),"")</f>
        <v>70</v>
      </c>
      <c r="H16" s="8" t="n">
        <f aca="false">IFERROR(VLOOKUP(E16,'1-Setup'!A17:D21,4,FALSE()),"")</f>
        <v>110</v>
      </c>
      <c r="I16" s="8" t="n">
        <f aca="false">IFERROR(VLOOKUP(E16,'1-Setup'!A17:E21,5,FALSE()),"")</f>
        <v>180</v>
      </c>
      <c r="J16" s="8" t="n">
        <f aca="false">IFERROR(G16*F16*'1-Setup'!B10*0.85,"")</f>
        <v>0</v>
      </c>
      <c r="K16" s="8" t="n">
        <f aca="false">IFERROR(H16*F16*'1-Setup'!B10,"")</f>
        <v>0</v>
      </c>
      <c r="L16" s="8" t="n">
        <f aca="false">IFERROR(I16*F16*'1-Setup'!B10*1.15,"")</f>
        <v>0</v>
      </c>
      <c r="M16" s="4"/>
      <c r="N16" s="4"/>
    </row>
    <row r="17" customFormat="false" ht="15" hidden="false" customHeight="false" outlineLevel="0" collapsed="false">
      <c r="A17" s="4"/>
      <c r="B17" s="4"/>
      <c r="C17" s="4"/>
      <c r="D17" s="4"/>
      <c r="E17" s="4" t="s">
        <v>27</v>
      </c>
      <c r="F17" s="9" t="n">
        <f aca="false">IFERROR(VLOOKUP(E17,'1-Setup'!A17:B21,2,FALSE()),"")</f>
        <v>2</v>
      </c>
      <c r="G17" s="8" t="n">
        <f aca="false">IFERROR(VLOOKUP(E17,'1-Setup'!A17:C21,3,FALSE()),"")</f>
        <v>70</v>
      </c>
      <c r="H17" s="8" t="n">
        <f aca="false">IFERROR(VLOOKUP(E17,'1-Setup'!A17:D21,4,FALSE()),"")</f>
        <v>110</v>
      </c>
      <c r="I17" s="8" t="n">
        <f aca="false">IFERROR(VLOOKUP(E17,'1-Setup'!A17:E21,5,FALSE()),"")</f>
        <v>180</v>
      </c>
      <c r="J17" s="8" t="n">
        <f aca="false">IFERROR(G17*F17*'1-Setup'!B10*0.85,"")</f>
        <v>0</v>
      </c>
      <c r="K17" s="8" t="n">
        <f aca="false">IFERROR(H17*F17*'1-Setup'!B10,"")</f>
        <v>0</v>
      </c>
      <c r="L17" s="8" t="n">
        <f aca="false">IFERROR(I17*F17*'1-Setup'!B10*1.15,"")</f>
        <v>0</v>
      </c>
      <c r="M17" s="4"/>
      <c r="N17" s="4"/>
    </row>
    <row r="18" customFormat="false" ht="15" hidden="false" customHeight="false" outlineLevel="0" collapsed="false">
      <c r="A18" s="10" t="s">
        <v>52</v>
      </c>
      <c r="F18" s="8" t="n">
        <f aca="false">SUM(F3:F17)</f>
        <v>30</v>
      </c>
      <c r="J18" s="8" t="n">
        <f aca="false">SUM(J3:J17)</f>
        <v>0</v>
      </c>
      <c r="K18" s="8" t="n">
        <f aca="false">SUM(K3:K17)</f>
        <v>0</v>
      </c>
      <c r="L18" s="8" t="n">
        <f aca="false">SUM(L3:L17)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30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38</v>
      </c>
      <c r="G2" s="5"/>
    </row>
    <row r="3" customFormat="false" ht="15" hidden="false" customHeight="false" outlineLevel="0" collapsed="false">
      <c r="A3" s="3" t="s">
        <v>59</v>
      </c>
      <c r="B3" s="3" t="s">
        <v>60</v>
      </c>
      <c r="C3" s="11" t="n">
        <v>1.5</v>
      </c>
      <c r="D3" s="4" t="n">
        <v>3</v>
      </c>
      <c r="E3" s="12" t="n">
        <f aca="false">C3*D3</f>
        <v>4.5</v>
      </c>
      <c r="F3" s="4"/>
    </row>
    <row r="4" customFormat="false" ht="15" hidden="false" customHeight="false" outlineLevel="0" collapsed="false">
      <c r="A4" s="3" t="s">
        <v>61</v>
      </c>
      <c r="B4" s="3" t="s">
        <v>62</v>
      </c>
      <c r="C4" s="11" t="n">
        <v>-1</v>
      </c>
      <c r="D4" s="4" t="n">
        <v>3</v>
      </c>
      <c r="E4" s="12" t="n">
        <f aca="false">C4*D4</f>
        <v>-3</v>
      </c>
      <c r="F4" s="4"/>
    </row>
    <row r="5" customFormat="false" ht="15" hidden="false" customHeight="false" outlineLevel="0" collapsed="false">
      <c r="A5" s="3" t="s">
        <v>63</v>
      </c>
      <c r="B5" s="3" t="s">
        <v>64</v>
      </c>
      <c r="C5" s="11" t="n">
        <v>0.5</v>
      </c>
      <c r="D5" s="4" t="n">
        <v>3</v>
      </c>
      <c r="E5" s="12" t="n">
        <f aca="false">C5*D5</f>
        <v>1.5</v>
      </c>
      <c r="F5" s="4"/>
    </row>
    <row r="6" customFormat="false" ht="15" hidden="false" customHeight="false" outlineLevel="0" collapsed="false">
      <c r="A6" s="3" t="s">
        <v>65</v>
      </c>
      <c r="B6" s="3" t="s">
        <v>66</v>
      </c>
      <c r="C6" s="11" t="n">
        <v>0.5</v>
      </c>
      <c r="D6" s="4" t="n">
        <v>3</v>
      </c>
      <c r="E6" s="12" t="n">
        <f aca="false">C6*D6</f>
        <v>1.5</v>
      </c>
      <c r="F6" s="4"/>
    </row>
    <row r="7" customFormat="false" ht="15" hidden="false" customHeight="false" outlineLevel="0" collapsed="false">
      <c r="A7" s="3" t="s">
        <v>67</v>
      </c>
      <c r="B7" s="3" t="s">
        <v>68</v>
      </c>
      <c r="C7" s="11" t="n">
        <v>1</v>
      </c>
      <c r="D7" s="4" t="n">
        <v>3</v>
      </c>
      <c r="E7" s="12" t="n">
        <f aca="false">C7*D7</f>
        <v>3</v>
      </c>
      <c r="F7" s="4"/>
    </row>
    <row r="8" customFormat="false" ht="15" hidden="false" customHeight="false" outlineLevel="0" collapsed="false">
      <c r="A8" s="3" t="s">
        <v>69</v>
      </c>
      <c r="B8" s="3" t="s">
        <v>70</v>
      </c>
      <c r="C8" s="11" t="n">
        <v>2</v>
      </c>
      <c r="D8" s="4" t="n">
        <v>3</v>
      </c>
      <c r="E8" s="12" t="n">
        <f aca="false">C8*D8</f>
        <v>6</v>
      </c>
      <c r="F8" s="4"/>
    </row>
    <row r="9" customFormat="false" ht="15" hidden="false" customHeight="false" outlineLevel="0" collapsed="false">
      <c r="A9" s="3" t="s">
        <v>71</v>
      </c>
      <c r="B9" s="3" t="s">
        <v>72</v>
      </c>
      <c r="C9" s="11" t="n">
        <v>-1</v>
      </c>
      <c r="D9" s="4" t="n">
        <v>3</v>
      </c>
      <c r="E9" s="12" t="n">
        <f aca="false">C9*D9</f>
        <v>-3</v>
      </c>
      <c r="F9" s="4"/>
    </row>
    <row r="10" customFormat="false" ht="15" hidden="false" customHeight="false" outlineLevel="0" collapsed="false">
      <c r="A10" s="3" t="s">
        <v>73</v>
      </c>
      <c r="B10" s="3" t="s">
        <v>74</v>
      </c>
      <c r="C10" s="11" t="n">
        <v>-1</v>
      </c>
      <c r="D10" s="4" t="n">
        <v>3</v>
      </c>
      <c r="E10" s="12" t="n">
        <f aca="false">C10*D10</f>
        <v>-3</v>
      </c>
      <c r="F10" s="4"/>
    </row>
    <row r="11" customFormat="false" ht="15" hidden="false" customHeight="true" outlineLevel="0" collapsed="false">
      <c r="A11" s="13" t="s">
        <v>75</v>
      </c>
      <c r="B11" s="13"/>
      <c r="C11" s="13"/>
      <c r="D11" s="13"/>
      <c r="E11" s="13"/>
      <c r="F11" s="13"/>
      <c r="G11" s="13"/>
    </row>
    <row r="12" customFormat="false" ht="15" hidden="false" customHeight="false" outlineLevel="0" collapsed="false">
      <c r="A12" s="3" t="s">
        <v>76</v>
      </c>
      <c r="B12" s="3" t="s">
        <v>77</v>
      </c>
      <c r="C12" s="11" t="n">
        <v>0.8</v>
      </c>
      <c r="D12" s="4" t="n">
        <v>3</v>
      </c>
      <c r="E12" s="12" t="n">
        <f aca="false">C12*D12</f>
        <v>2.4</v>
      </c>
      <c r="F12" s="4"/>
    </row>
    <row r="13" customFormat="false" ht="15" hidden="false" customHeight="false" outlineLevel="0" collapsed="false">
      <c r="A13" s="3" t="s">
        <v>78</v>
      </c>
      <c r="B13" s="3" t="s">
        <v>79</v>
      </c>
      <c r="C13" s="11" t="n">
        <v>0.6</v>
      </c>
      <c r="D13" s="4" t="n">
        <v>3</v>
      </c>
      <c r="E13" s="12" t="n">
        <f aca="false">C13*D13</f>
        <v>1.8</v>
      </c>
      <c r="F13" s="4"/>
    </row>
    <row r="14" customFormat="false" ht="15" hidden="false" customHeight="false" outlineLevel="0" collapsed="false">
      <c r="A14" s="3" t="s">
        <v>80</v>
      </c>
      <c r="B14" s="3" t="s">
        <v>81</v>
      </c>
      <c r="C14" s="11" t="n">
        <v>-0.5</v>
      </c>
      <c r="D14" s="4" t="n">
        <v>3</v>
      </c>
      <c r="E14" s="12" t="n">
        <f aca="false">C14*D14</f>
        <v>-1.5</v>
      </c>
      <c r="F14" s="4"/>
    </row>
    <row r="15" customFormat="false" ht="15" hidden="false" customHeight="false" outlineLevel="0" collapsed="false">
      <c r="A15" s="3" t="s">
        <v>82</v>
      </c>
      <c r="B15" s="3" t="s">
        <v>83</v>
      </c>
      <c r="C15" s="11" t="n">
        <v>-0.4</v>
      </c>
      <c r="D15" s="4" t="n">
        <v>3</v>
      </c>
      <c r="E15" s="12" t="n">
        <f aca="false">C15*D15</f>
        <v>-1.2</v>
      </c>
      <c r="F15" s="4"/>
    </row>
    <row r="16" customFormat="false" ht="15" hidden="false" customHeight="false" outlineLevel="0" collapsed="false">
      <c r="A16" s="3" t="s">
        <v>84</v>
      </c>
      <c r="B16" s="3" t="s">
        <v>85</v>
      </c>
      <c r="C16" s="11" t="n">
        <v>-0.6</v>
      </c>
      <c r="D16" s="4" t="n">
        <v>3</v>
      </c>
      <c r="E16" s="12" t="n">
        <f aca="false">C16*D16</f>
        <v>-1.8</v>
      </c>
      <c r="F16" s="4"/>
    </row>
    <row r="17" customFormat="false" ht="15" hidden="false" customHeight="false" outlineLevel="0" collapsed="false">
      <c r="A17" s="14" t="s">
        <v>86</v>
      </c>
      <c r="C17" s="15" t="n">
        <f aca="false">1.4+(-0.03*SUM(E3:E10))</f>
        <v>1.175</v>
      </c>
    </row>
    <row r="18" customFormat="false" ht="15" hidden="false" customHeight="false" outlineLevel="0" collapsed="false">
      <c r="A18" s="14" t="s">
        <v>87</v>
      </c>
      <c r="C18" s="15" t="n">
        <f aca="false">1+(0.05*SUM(E12:E16))</f>
        <v>0.985</v>
      </c>
    </row>
    <row r="19" customFormat="false" ht="15" hidden="false" customHeight="false" outlineLevel="0" collapsed="false">
      <c r="A19" s="14" t="s">
        <v>88</v>
      </c>
      <c r="C19" s="16" t="n">
        <f aca="false">C17*C18</f>
        <v>1.157375</v>
      </c>
    </row>
    <row r="21" customFormat="false" ht="15" hidden="false" customHeight="false" outlineLevel="0" collapsed="false">
      <c r="A21" s="17" t="s">
        <v>89</v>
      </c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38</v>
      </c>
    </row>
    <row r="3" customFormat="false" ht="15" hidden="false" customHeight="false" outlineLevel="0" collapsed="false">
      <c r="A3" s="3" t="s">
        <v>91</v>
      </c>
      <c r="B3" s="3" t="s">
        <v>92</v>
      </c>
      <c r="C3" s="11" t="n">
        <v>2</v>
      </c>
      <c r="D3" s="4" t="n">
        <v>3</v>
      </c>
      <c r="E3" s="12" t="n">
        <f aca="false">C3*D3</f>
        <v>6</v>
      </c>
      <c r="F3" s="4"/>
    </row>
    <row r="4" customFormat="false" ht="15" hidden="false" customHeight="false" outlineLevel="0" collapsed="false">
      <c r="A4" s="3" t="s">
        <v>93</v>
      </c>
      <c r="B4" s="3" t="s">
        <v>94</v>
      </c>
      <c r="C4" s="11" t="n">
        <v>1</v>
      </c>
      <c r="D4" s="4" t="n">
        <v>3</v>
      </c>
      <c r="E4" s="12" t="n">
        <f aca="false">C4*D4</f>
        <v>3</v>
      </c>
      <c r="F4" s="4"/>
    </row>
    <row r="5" customFormat="false" ht="15" hidden="false" customHeight="false" outlineLevel="0" collapsed="false">
      <c r="A5" s="3" t="s">
        <v>95</v>
      </c>
      <c r="B5" s="3" t="s">
        <v>96</v>
      </c>
      <c r="C5" s="11" t="n">
        <v>1</v>
      </c>
      <c r="D5" s="4" t="n">
        <v>3</v>
      </c>
      <c r="E5" s="12" t="n">
        <f aca="false">C5*D5</f>
        <v>3</v>
      </c>
      <c r="F5" s="4"/>
    </row>
    <row r="6" customFormat="false" ht="15" hidden="false" customHeight="false" outlineLevel="0" collapsed="false">
      <c r="A6" s="3" t="s">
        <v>97</v>
      </c>
      <c r="B6" s="3" t="s">
        <v>98</v>
      </c>
      <c r="C6" s="11" t="n">
        <v>1</v>
      </c>
      <c r="D6" s="4" t="n">
        <v>3</v>
      </c>
      <c r="E6" s="12" t="n">
        <f aca="false">C6*D6</f>
        <v>3</v>
      </c>
      <c r="F6" s="4"/>
    </row>
    <row r="7" customFormat="false" ht="15" hidden="false" customHeight="false" outlineLevel="0" collapsed="false">
      <c r="A7" s="3" t="s">
        <v>99</v>
      </c>
      <c r="B7" s="3" t="s">
        <v>100</v>
      </c>
      <c r="C7" s="11" t="n">
        <v>1</v>
      </c>
      <c r="D7" s="4" t="n">
        <v>3</v>
      </c>
      <c r="E7" s="12" t="n">
        <f aca="false">C7*D7</f>
        <v>3</v>
      </c>
      <c r="F7" s="4"/>
    </row>
    <row r="8" customFormat="false" ht="15" hidden="false" customHeight="false" outlineLevel="0" collapsed="false">
      <c r="A8" s="3" t="s">
        <v>101</v>
      </c>
      <c r="B8" s="3" t="s">
        <v>102</v>
      </c>
      <c r="C8" s="11" t="n">
        <v>0.5</v>
      </c>
      <c r="D8" s="4" t="n">
        <v>3</v>
      </c>
      <c r="E8" s="12" t="n">
        <f aca="false">C8*D8</f>
        <v>1.5</v>
      </c>
      <c r="F8" s="4"/>
    </row>
    <row r="9" customFormat="false" ht="15" hidden="false" customHeight="false" outlineLevel="0" collapsed="false">
      <c r="A9" s="3" t="s">
        <v>103</v>
      </c>
      <c r="B9" s="3" t="s">
        <v>104</v>
      </c>
      <c r="C9" s="11" t="n">
        <v>0.5</v>
      </c>
      <c r="D9" s="4" t="n">
        <v>3</v>
      </c>
      <c r="E9" s="12" t="n">
        <f aca="false">C9*D9</f>
        <v>1.5</v>
      </c>
      <c r="F9" s="4"/>
    </row>
    <row r="10" customFormat="false" ht="15" hidden="false" customHeight="false" outlineLevel="0" collapsed="false">
      <c r="A10" s="3" t="s">
        <v>105</v>
      </c>
      <c r="B10" s="3" t="s">
        <v>106</v>
      </c>
      <c r="C10" s="11" t="n">
        <v>2</v>
      </c>
      <c r="D10" s="4" t="n">
        <v>3</v>
      </c>
      <c r="E10" s="12" t="n">
        <f aca="false">C10*D10</f>
        <v>6</v>
      </c>
      <c r="F10" s="4"/>
    </row>
    <row r="11" customFormat="false" ht="15" hidden="false" customHeight="false" outlineLevel="0" collapsed="false">
      <c r="A11" s="3" t="s">
        <v>107</v>
      </c>
      <c r="B11" s="3" t="s">
        <v>108</v>
      </c>
      <c r="C11" s="11" t="n">
        <v>1</v>
      </c>
      <c r="D11" s="4" t="n">
        <v>3</v>
      </c>
      <c r="E11" s="12" t="n">
        <f aca="false">C11*D11</f>
        <v>3</v>
      </c>
      <c r="F11" s="4"/>
    </row>
    <row r="12" customFormat="false" ht="15" hidden="false" customHeight="false" outlineLevel="0" collapsed="false">
      <c r="A12" s="3" t="s">
        <v>109</v>
      </c>
      <c r="B12" s="3" t="s">
        <v>110</v>
      </c>
      <c r="C12" s="11" t="n">
        <v>1</v>
      </c>
      <c r="D12" s="4" t="n">
        <v>3</v>
      </c>
      <c r="E12" s="12" t="n">
        <f aca="false">C12*D12</f>
        <v>3</v>
      </c>
      <c r="F12" s="4"/>
    </row>
    <row r="13" customFormat="false" ht="15" hidden="false" customHeight="false" outlineLevel="0" collapsed="false">
      <c r="A13" s="3" t="s">
        <v>111</v>
      </c>
      <c r="B13" s="3" t="s">
        <v>112</v>
      </c>
      <c r="C13" s="11" t="n">
        <v>1</v>
      </c>
      <c r="D13" s="4" t="n">
        <v>3</v>
      </c>
      <c r="E13" s="12" t="n">
        <f aca="false">C13*D13</f>
        <v>3</v>
      </c>
      <c r="F13" s="4"/>
    </row>
    <row r="14" customFormat="false" ht="15" hidden="false" customHeight="false" outlineLevel="0" collapsed="false">
      <c r="A14" s="3" t="s">
        <v>113</v>
      </c>
      <c r="B14" s="3" t="s">
        <v>114</v>
      </c>
      <c r="C14" s="11" t="n">
        <v>1</v>
      </c>
      <c r="D14" s="4" t="n">
        <v>3</v>
      </c>
      <c r="E14" s="12" t="n">
        <f aca="false">C14*D14</f>
        <v>3</v>
      </c>
      <c r="F14" s="4"/>
    </row>
    <row r="15" customFormat="false" ht="15" hidden="false" customHeight="false" outlineLevel="0" collapsed="false">
      <c r="A15" s="3" t="s">
        <v>115</v>
      </c>
      <c r="B15" s="3" t="s">
        <v>116</v>
      </c>
      <c r="C15" s="11" t="n">
        <v>1</v>
      </c>
      <c r="D15" s="4" t="n">
        <v>3</v>
      </c>
      <c r="E15" s="12" t="n">
        <f aca="false">C15*D15</f>
        <v>3</v>
      </c>
      <c r="F15" s="4"/>
    </row>
    <row r="16" customFormat="false" ht="15" hidden="false" customHeight="false" outlineLevel="0" collapsed="false">
      <c r="A16" s="14" t="s">
        <v>117</v>
      </c>
      <c r="C16" s="16" t="n">
        <f aca="false">0.6+(0.01*SUM(E3:E15))</f>
        <v>1.02</v>
      </c>
    </row>
    <row r="17" customFormat="false" ht="15" hidden="false" customHeight="false" outlineLevel="0" collapsed="false">
      <c r="A17" s="14" t="s">
        <v>118</v>
      </c>
      <c r="C17" s="15" t="n">
        <f aca="false">'3-ECF'!C19</f>
        <v>1.157375</v>
      </c>
    </row>
    <row r="18" customFormat="false" ht="15" hidden="false" customHeight="false" outlineLevel="0" collapsed="false">
      <c r="A18" s="14" t="s">
        <v>119</v>
      </c>
      <c r="C18" s="16" t="n">
        <f aca="false">C16*C17</f>
        <v>1.1805225</v>
      </c>
    </row>
    <row r="19" customFormat="false" ht="15" hidden="false" customHeight="false" outlineLevel="0" collapsed="false">
      <c r="A19" s="17" t="s">
        <v>120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9" min="4" style="0" width="16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6.85" hidden="false" customHeight="false" outlineLevel="0" collapsed="false">
      <c r="A2" s="5" t="s">
        <v>34</v>
      </c>
      <c r="B2" s="5" t="s">
        <v>122</v>
      </c>
      <c r="C2" s="5" t="s">
        <v>123</v>
      </c>
      <c r="D2" s="5" t="s">
        <v>124</v>
      </c>
      <c r="E2" s="5" t="s">
        <v>125</v>
      </c>
      <c r="F2" s="5" t="s">
        <v>126</v>
      </c>
      <c r="G2" s="5" t="s">
        <v>127</v>
      </c>
      <c r="H2" s="5" t="s">
        <v>128</v>
      </c>
      <c r="I2" s="5" t="s">
        <v>129</v>
      </c>
      <c r="J2" s="5" t="s">
        <v>130</v>
      </c>
      <c r="K2" s="5" t="s">
        <v>131</v>
      </c>
      <c r="L2" s="5" t="s">
        <v>132</v>
      </c>
      <c r="M2" s="5" t="s">
        <v>38</v>
      </c>
    </row>
    <row r="3" customFormat="false" ht="15" hidden="false" customHeight="false" outlineLevel="0" collapsed="false">
      <c r="A3" s="4" t="n">
        <v>1</v>
      </c>
      <c r="B3" s="4"/>
      <c r="C3" s="4"/>
      <c r="D3" s="8" t="n">
        <f aca="false">IFERROR(C3*VLOOKUP("M",'1-Setup'!A17:C21,3,FALSE())*'1-Setup'!B10*0.85,"")</f>
        <v>0</v>
      </c>
      <c r="E3" s="8" t="n">
        <f aca="false">IFERROR(C3*VLOOKUP("M",'1-Setup'!A17:D21,4,FALSE())*'1-Setup'!B10,"")</f>
        <v>0</v>
      </c>
      <c r="F3" s="8" t="n">
        <f aca="false">IFERROR(C3*VLOOKUP("M",'1-Setup'!A17:E21,5,FALSE())*'1-Setup'!B10*1.15,"")</f>
        <v>0</v>
      </c>
      <c r="G3" s="9" t="n">
        <f aca="false">IFERROR(D3/'1-Setup'!B6,"")</f>
        <v>0</v>
      </c>
      <c r="H3" s="9" t="n">
        <f aca="false">IFERROR(E3/'1-Setup'!B6,"")</f>
        <v>0</v>
      </c>
      <c r="I3" s="9" t="n">
        <f aca="false">IFERROR(F3/'1-Setup'!B6,"")</f>
        <v>0</v>
      </c>
      <c r="J3" s="4" t="s">
        <v>11</v>
      </c>
      <c r="K3" s="4" t="s">
        <v>23</v>
      </c>
      <c r="L3" s="8" t="n">
        <f aca="false">IFERROR(SUM($E$3:E3),"")</f>
        <v>0</v>
      </c>
      <c r="M3" s="4"/>
    </row>
    <row r="4" customFormat="false" ht="15" hidden="false" customHeight="false" outlineLevel="0" collapsed="false">
      <c r="A4" s="4" t="n">
        <v>2</v>
      </c>
      <c r="B4" s="4"/>
      <c r="C4" s="4"/>
      <c r="D4" s="8" t="n">
        <f aca="false">IFERROR(C4*VLOOKUP("M",'1-Setup'!A17:C21,3,FALSE())*'1-Setup'!B10*0.85,"")</f>
        <v>0</v>
      </c>
      <c r="E4" s="8" t="n">
        <f aca="false">IFERROR(C4*VLOOKUP("M",'1-Setup'!A17:D21,4,FALSE())*'1-Setup'!B10,"")</f>
        <v>0</v>
      </c>
      <c r="F4" s="8" t="n">
        <f aca="false">IFERROR(C4*VLOOKUP("M",'1-Setup'!A17:E21,5,FALSE())*'1-Setup'!B10*1.15,"")</f>
        <v>0</v>
      </c>
      <c r="G4" s="9" t="n">
        <f aca="false">IFERROR(D4/'1-Setup'!B6,"")</f>
        <v>0</v>
      </c>
      <c r="H4" s="9" t="n">
        <f aca="false">IFERROR(E4/'1-Setup'!B6,"")</f>
        <v>0</v>
      </c>
      <c r="I4" s="9" t="n">
        <f aca="false">IFERROR(F4/'1-Setup'!B6,"")</f>
        <v>0</v>
      </c>
      <c r="J4" s="4" t="s">
        <v>11</v>
      </c>
      <c r="K4" s="4" t="s">
        <v>23</v>
      </c>
      <c r="L4" s="8" t="n">
        <f aca="false">IFERROR(SUM($E$3:E4),"")</f>
        <v>0</v>
      </c>
      <c r="M4" s="4"/>
    </row>
    <row r="5" customFormat="false" ht="15" hidden="false" customHeight="false" outlineLevel="0" collapsed="false">
      <c r="A5" s="4" t="n">
        <v>3</v>
      </c>
      <c r="B5" s="4"/>
      <c r="C5" s="4"/>
      <c r="D5" s="8" t="n">
        <f aca="false">IFERROR(C5*VLOOKUP("M",'1-Setup'!A17:C21,3,FALSE())*'1-Setup'!B10*0.85,"")</f>
        <v>0</v>
      </c>
      <c r="E5" s="8" t="n">
        <f aca="false">IFERROR(C5*VLOOKUP("M",'1-Setup'!A17:D21,4,FALSE())*'1-Setup'!B10,"")</f>
        <v>0</v>
      </c>
      <c r="F5" s="8" t="n">
        <f aca="false">IFERROR(C5*VLOOKUP("M",'1-Setup'!A17:E21,5,FALSE())*'1-Setup'!B10*1.15,"")</f>
        <v>0</v>
      </c>
      <c r="G5" s="9" t="n">
        <f aca="false">IFERROR(D5/'1-Setup'!B6,"")</f>
        <v>0</v>
      </c>
      <c r="H5" s="9" t="n">
        <f aca="false">IFERROR(E5/'1-Setup'!B6,"")</f>
        <v>0</v>
      </c>
      <c r="I5" s="9" t="n">
        <f aca="false">IFERROR(F5/'1-Setup'!B6,"")</f>
        <v>0</v>
      </c>
      <c r="J5" s="4" t="s">
        <v>11</v>
      </c>
      <c r="K5" s="4" t="s">
        <v>23</v>
      </c>
      <c r="L5" s="8" t="n">
        <f aca="false">IFERROR(SUM($E$3:E5),"")</f>
        <v>0</v>
      </c>
      <c r="M5" s="4"/>
    </row>
    <row r="6" customFormat="false" ht="15" hidden="false" customHeight="false" outlineLevel="0" collapsed="false">
      <c r="A6" s="4" t="n">
        <v>4</v>
      </c>
      <c r="B6" s="4"/>
      <c r="C6" s="4"/>
      <c r="D6" s="8" t="n">
        <f aca="false">IFERROR(C6*VLOOKUP("M",'1-Setup'!A17:C21,3,FALSE())*'1-Setup'!B10*0.85,"")</f>
        <v>0</v>
      </c>
      <c r="E6" s="8" t="n">
        <f aca="false">IFERROR(C6*VLOOKUP("M",'1-Setup'!A17:D21,4,FALSE())*'1-Setup'!B10,"")</f>
        <v>0</v>
      </c>
      <c r="F6" s="8" t="n">
        <f aca="false">IFERROR(C6*VLOOKUP("M",'1-Setup'!A17:E21,5,FALSE())*'1-Setup'!B10*1.15,"")</f>
        <v>0</v>
      </c>
      <c r="G6" s="9" t="n">
        <f aca="false">IFERROR(D6/'1-Setup'!B6,"")</f>
        <v>0</v>
      </c>
      <c r="H6" s="9" t="n">
        <f aca="false">IFERROR(E6/'1-Setup'!B6,"")</f>
        <v>0</v>
      </c>
      <c r="I6" s="9" t="n">
        <f aca="false">IFERROR(F6/'1-Setup'!B6,"")</f>
        <v>0</v>
      </c>
      <c r="J6" s="4" t="s">
        <v>11</v>
      </c>
      <c r="K6" s="4" t="s">
        <v>23</v>
      </c>
      <c r="L6" s="8" t="n">
        <f aca="false">IFERROR(SUM($E$3:E6),"")</f>
        <v>0</v>
      </c>
      <c r="M6" s="4"/>
    </row>
    <row r="7" customFormat="false" ht="15" hidden="false" customHeight="false" outlineLevel="0" collapsed="false">
      <c r="A7" s="4" t="n">
        <v>5</v>
      </c>
      <c r="B7" s="4"/>
      <c r="C7" s="4"/>
      <c r="D7" s="8" t="n">
        <f aca="false">IFERROR(C7*VLOOKUP("M",'1-Setup'!A17:C21,3,FALSE())*'1-Setup'!B10*0.85,"")</f>
        <v>0</v>
      </c>
      <c r="E7" s="8" t="n">
        <f aca="false">IFERROR(C7*VLOOKUP("M",'1-Setup'!A17:D21,4,FALSE())*'1-Setup'!B10,"")</f>
        <v>0</v>
      </c>
      <c r="F7" s="8" t="n">
        <f aca="false">IFERROR(C7*VLOOKUP("M",'1-Setup'!A17:E21,5,FALSE())*'1-Setup'!B10*1.15,"")</f>
        <v>0</v>
      </c>
      <c r="G7" s="9" t="n">
        <f aca="false">IFERROR(D7/'1-Setup'!B6,"")</f>
        <v>0</v>
      </c>
      <c r="H7" s="9" t="n">
        <f aca="false">IFERROR(E7/'1-Setup'!B6,"")</f>
        <v>0</v>
      </c>
      <c r="I7" s="9" t="n">
        <f aca="false">IFERROR(F7/'1-Setup'!B6,"")</f>
        <v>0</v>
      </c>
      <c r="J7" s="4" t="s">
        <v>11</v>
      </c>
      <c r="K7" s="4" t="s">
        <v>23</v>
      </c>
      <c r="L7" s="8" t="n">
        <f aca="false">IFERROR(SUM($E$3:E7),"")</f>
        <v>0</v>
      </c>
      <c r="M7" s="4"/>
    </row>
    <row r="8" customFormat="false" ht="15" hidden="false" customHeight="false" outlineLevel="0" collapsed="false">
      <c r="A8" s="4" t="n">
        <v>6</v>
      </c>
      <c r="B8" s="4"/>
      <c r="C8" s="4"/>
      <c r="D8" s="8" t="n">
        <f aca="false">IFERROR(C8*VLOOKUP("M",'1-Setup'!A17:C21,3,FALSE())*'1-Setup'!B10*0.85,"")</f>
        <v>0</v>
      </c>
      <c r="E8" s="8" t="n">
        <f aca="false">IFERROR(C8*VLOOKUP("M",'1-Setup'!A17:D21,4,FALSE())*'1-Setup'!B10,"")</f>
        <v>0</v>
      </c>
      <c r="F8" s="8" t="n">
        <f aca="false">IFERROR(C8*VLOOKUP("M",'1-Setup'!A17:E21,5,FALSE())*'1-Setup'!B10*1.15,"")</f>
        <v>0</v>
      </c>
      <c r="G8" s="9" t="n">
        <f aca="false">IFERROR(D8/'1-Setup'!B6,"")</f>
        <v>0</v>
      </c>
      <c r="H8" s="9" t="n">
        <f aca="false">IFERROR(E8/'1-Setup'!B6,"")</f>
        <v>0</v>
      </c>
      <c r="I8" s="9" t="n">
        <f aca="false">IFERROR(F8/'1-Setup'!B6,"")</f>
        <v>0</v>
      </c>
      <c r="J8" s="4" t="s">
        <v>11</v>
      </c>
      <c r="K8" s="4" t="s">
        <v>23</v>
      </c>
      <c r="L8" s="8" t="n">
        <f aca="false">IFERROR(SUM($E$3:E8),"")</f>
        <v>0</v>
      </c>
      <c r="M8" s="4"/>
    </row>
    <row r="9" customFormat="false" ht="15" hidden="false" customHeight="false" outlineLevel="0" collapsed="false">
      <c r="A9" s="4" t="n">
        <v>7</v>
      </c>
      <c r="B9" s="4"/>
      <c r="C9" s="4"/>
      <c r="D9" s="8" t="n">
        <f aca="false">IFERROR(C9*VLOOKUP("M",'1-Setup'!A17:C21,3,FALSE())*'1-Setup'!B10*0.85,"")</f>
        <v>0</v>
      </c>
      <c r="E9" s="8" t="n">
        <f aca="false">IFERROR(C9*VLOOKUP("M",'1-Setup'!A17:D21,4,FALSE())*'1-Setup'!B10,"")</f>
        <v>0</v>
      </c>
      <c r="F9" s="8" t="n">
        <f aca="false">IFERROR(C9*VLOOKUP("M",'1-Setup'!A17:E21,5,FALSE())*'1-Setup'!B10*1.15,"")</f>
        <v>0</v>
      </c>
      <c r="G9" s="9" t="n">
        <f aca="false">IFERROR(D9/'1-Setup'!B6,"")</f>
        <v>0</v>
      </c>
      <c r="H9" s="9" t="n">
        <f aca="false">IFERROR(E9/'1-Setup'!B6,"")</f>
        <v>0</v>
      </c>
      <c r="I9" s="9" t="n">
        <f aca="false">IFERROR(F9/'1-Setup'!B6,"")</f>
        <v>0</v>
      </c>
      <c r="J9" s="4" t="s">
        <v>11</v>
      </c>
      <c r="K9" s="4" t="s">
        <v>23</v>
      </c>
      <c r="L9" s="8" t="n">
        <f aca="false">IFERROR(SUM($E$3:E9),"")</f>
        <v>0</v>
      </c>
      <c r="M9" s="4"/>
    </row>
    <row r="10" customFormat="false" ht="15" hidden="false" customHeight="false" outlineLevel="0" collapsed="false">
      <c r="A10" s="4" t="n">
        <v>8</v>
      </c>
      <c r="B10" s="4"/>
      <c r="C10" s="4"/>
      <c r="D10" s="8" t="n">
        <f aca="false">IFERROR(C10*VLOOKUP("M",'1-Setup'!A17:C21,3,FALSE())*'1-Setup'!B10*0.85,"")</f>
        <v>0</v>
      </c>
      <c r="E10" s="8" t="n">
        <f aca="false">IFERROR(C10*VLOOKUP("M",'1-Setup'!A17:D21,4,FALSE())*'1-Setup'!B10,"")</f>
        <v>0</v>
      </c>
      <c r="F10" s="8" t="n">
        <f aca="false">IFERROR(C10*VLOOKUP("M",'1-Setup'!A17:E21,5,FALSE())*'1-Setup'!B10*1.15,"")</f>
        <v>0</v>
      </c>
      <c r="G10" s="9" t="n">
        <f aca="false">IFERROR(D10/'1-Setup'!B6,"")</f>
        <v>0</v>
      </c>
      <c r="H10" s="9" t="n">
        <f aca="false">IFERROR(E10/'1-Setup'!B6,"")</f>
        <v>0</v>
      </c>
      <c r="I10" s="9" t="n">
        <f aca="false">IFERROR(F10/'1-Setup'!B6,"")</f>
        <v>0</v>
      </c>
      <c r="J10" s="4" t="s">
        <v>11</v>
      </c>
      <c r="K10" s="4" t="s">
        <v>23</v>
      </c>
      <c r="L10" s="8" t="n">
        <f aca="false">IFERROR(SUM($E$3:E10),"")</f>
        <v>0</v>
      </c>
      <c r="M10" s="4"/>
    </row>
    <row r="11" customFormat="false" ht="15" hidden="false" customHeight="false" outlineLevel="0" collapsed="false">
      <c r="A11" s="10" t="s">
        <v>133</v>
      </c>
      <c r="C11" s="8" t="n">
        <f aca="false">SUM(C3:C10)</f>
        <v>0</v>
      </c>
      <c r="D11" s="8" t="n">
        <f aca="false">SUM(D3:D10)</f>
        <v>0</v>
      </c>
      <c r="E11" s="8" t="n">
        <f aca="false">SUM(E3:E10)</f>
        <v>0</v>
      </c>
      <c r="F11" s="8" t="n">
        <f aca="false">SUM(F3:F10)</f>
        <v>0</v>
      </c>
      <c r="G11" s="8" t="n">
        <f aca="false">SUM(G3:G10)</f>
        <v>0</v>
      </c>
      <c r="H11" s="8" t="n">
        <f aca="false">SUM(H3:H10)</f>
        <v>0</v>
      </c>
      <c r="I11" s="8" t="n">
        <f aca="false">SUM(I3:I10)</f>
        <v>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  <col collapsed="false" customWidth="true" hidden="false" outlineLevel="0" max="6" min="6" style="0" width="22"/>
    <col collapsed="false" customWidth="true" hidden="false" outlineLevel="0" max="10" min="7" style="0" width="14"/>
  </cols>
  <sheetData>
    <row r="1" customFormat="false" ht="27.7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true" outlineLevel="0" collapsed="false">
      <c r="A3" s="2" t="s">
        <v>135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8" t="s">
        <v>136</v>
      </c>
      <c r="B4" s="3" t="n">
        <v>10000</v>
      </c>
    </row>
    <row r="5" customFormat="false" ht="15" hidden="false" customHeight="false" outlineLevel="0" collapsed="false">
      <c r="A5" s="18" t="s">
        <v>137</v>
      </c>
      <c r="B5" s="3" t="n">
        <f aca="false">COUNTA('2-Scenario List'!A3:A17)</f>
        <v>0</v>
      </c>
    </row>
    <row r="6" customFormat="false" ht="15" hidden="false" customHeight="false" outlineLevel="0" collapsed="false">
      <c r="A6" s="18" t="s">
        <v>138</v>
      </c>
      <c r="B6" s="3" t="s">
        <v>139</v>
      </c>
    </row>
    <row r="7" customFormat="false" ht="15" hidden="false" customHeight="false" outlineLevel="0" collapsed="false">
      <c r="A7" s="18" t="s">
        <v>140</v>
      </c>
      <c r="B7" s="3" t="s">
        <v>141</v>
      </c>
    </row>
    <row r="8" customFormat="false" ht="15" hidden="false" customHeight="false" outlineLevel="0" collapsed="false">
      <c r="A8" s="18" t="s">
        <v>142</v>
      </c>
      <c r="B8" s="3" t="n">
        <f aca="false">'1-Setup'!B6</f>
        <v>1500</v>
      </c>
    </row>
    <row r="9" customFormat="false" ht="15" hidden="false" customHeight="false" outlineLevel="0" collapsed="false">
      <c r="A9" s="18" t="s">
        <v>143</v>
      </c>
      <c r="B9" s="3" t="n">
        <f aca="false">'1-Setup'!B10</f>
        <v>0</v>
      </c>
    </row>
    <row r="11" customFormat="false" ht="15" hidden="false" customHeight="true" outlineLevel="0" collapsed="false">
      <c r="A11" s="19" t="s">
        <v>144</v>
      </c>
      <c r="B11" s="19"/>
      <c r="C11" s="19"/>
      <c r="D11" s="19"/>
      <c r="E11" s="19"/>
      <c r="F11" s="19"/>
      <c r="G11" s="19"/>
      <c r="H11" s="19"/>
      <c r="I11" s="19"/>
      <c r="J11" s="19"/>
    </row>
    <row r="12" customFormat="false" ht="15" hidden="false" customHeight="false" outlineLevel="0" collapsed="false">
      <c r="A12" s="5" t="s">
        <v>145</v>
      </c>
      <c r="B12" s="5" t="s">
        <v>146</v>
      </c>
      <c r="C12" s="5" t="s">
        <v>147</v>
      </c>
      <c r="D12" s="5" t="s">
        <v>148</v>
      </c>
      <c r="E12" s="5" t="s">
        <v>149</v>
      </c>
      <c r="F12" s="5" t="s">
        <v>150</v>
      </c>
    </row>
    <row r="13" customFormat="false" ht="15" hidden="false" customHeight="false" outlineLevel="0" collapsed="false">
      <c r="A13" s="18" t="s">
        <v>151</v>
      </c>
      <c r="B13" s="3" t="s">
        <v>152</v>
      </c>
      <c r="C13" s="3"/>
      <c r="D13" s="3"/>
      <c r="E13" s="3"/>
      <c r="F13" s="3"/>
    </row>
    <row r="14" customFormat="false" ht="15" hidden="false" customHeight="false" outlineLevel="0" collapsed="false">
      <c r="A14" s="18" t="s">
        <v>153</v>
      </c>
      <c r="B14" s="3" t="s">
        <v>154</v>
      </c>
      <c r="C14" s="3"/>
      <c r="D14" s="3"/>
      <c r="E14" s="3"/>
      <c r="F14" s="3"/>
    </row>
    <row r="15" customFormat="false" ht="15" hidden="false" customHeight="false" outlineLevel="0" collapsed="false">
      <c r="A15" s="20" t="s">
        <v>155</v>
      </c>
      <c r="B15" s="21" t="s">
        <v>156</v>
      </c>
      <c r="C15" s="21"/>
      <c r="D15" s="21"/>
      <c r="E15" s="21"/>
      <c r="F15" s="21"/>
    </row>
    <row r="16" customFormat="false" ht="15" hidden="false" customHeight="false" outlineLevel="0" collapsed="false">
      <c r="A16" s="18" t="s">
        <v>157</v>
      </c>
      <c r="B16" s="3" t="s">
        <v>158</v>
      </c>
      <c r="C16" s="3"/>
      <c r="D16" s="3"/>
      <c r="E16" s="3"/>
      <c r="F16" s="3"/>
    </row>
    <row r="18" customFormat="false" ht="15" hidden="false" customHeight="true" outlineLevel="0" collapsed="false">
      <c r="A18" s="22" t="s">
        <v>159</v>
      </c>
      <c r="B18" s="22"/>
      <c r="C18" s="22"/>
      <c r="D18" s="22"/>
      <c r="E18" s="22"/>
      <c r="F18" s="22"/>
      <c r="G18" s="22"/>
      <c r="H18" s="22"/>
      <c r="I18" s="22"/>
      <c r="J18" s="22"/>
    </row>
    <row r="19" customFormat="false" ht="15" hidden="false" customHeight="true" outlineLevel="0" collapsed="false">
      <c r="A19" s="23" t="s">
        <v>160</v>
      </c>
      <c r="B19" s="23"/>
      <c r="C19" s="23"/>
      <c r="D19" s="23"/>
      <c r="E19" s="23"/>
      <c r="F19" s="23"/>
      <c r="G19" s="23"/>
      <c r="H19" s="23"/>
      <c r="I19" s="23"/>
      <c r="J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23"/>
      <c r="J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</row>
  </sheetData>
  <mergeCells count="5">
    <mergeCell ref="A1:J1"/>
    <mergeCell ref="A3:J3"/>
    <mergeCell ref="A11:J11"/>
    <mergeCell ref="A18:J18"/>
    <mergeCell ref="A19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14" min="6" style="0" width="12"/>
  </cols>
  <sheetData>
    <row r="1" customFormat="false" ht="27.7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6.85" hidden="false" customHeight="false" outlineLevel="0" collapsed="false">
      <c r="A2" s="5" t="s">
        <v>40</v>
      </c>
      <c r="B2" s="5" t="s">
        <v>41</v>
      </c>
      <c r="C2" s="5" t="s">
        <v>162</v>
      </c>
      <c r="D2" s="5" t="s">
        <v>163</v>
      </c>
      <c r="E2" s="5" t="s">
        <v>164</v>
      </c>
      <c r="F2" s="5" t="s">
        <v>165</v>
      </c>
      <c r="G2" s="5" t="s">
        <v>166</v>
      </c>
      <c r="H2" s="5" t="s">
        <v>167</v>
      </c>
      <c r="I2" s="5" t="s">
        <v>168</v>
      </c>
      <c r="J2" s="5" t="s">
        <v>169</v>
      </c>
      <c r="K2" s="5" t="s">
        <v>170</v>
      </c>
      <c r="L2" s="5" t="s">
        <v>171</v>
      </c>
      <c r="M2" s="5" t="s">
        <v>172</v>
      </c>
      <c r="N2" s="5" t="s">
        <v>173</v>
      </c>
    </row>
    <row r="3" customFormat="false" ht="15" hidden="false" customHeight="false" outlineLevel="0" collapsed="false">
      <c r="A3" s="4"/>
      <c r="B3" s="4"/>
      <c r="C3" s="4"/>
      <c r="D3" s="4" t="s">
        <v>174</v>
      </c>
      <c r="E3" s="3" t="s">
        <v>175</v>
      </c>
      <c r="F3" s="3" t="s">
        <v>176</v>
      </c>
      <c r="G3" s="4" t="s">
        <v>177</v>
      </c>
      <c r="H3" s="6" t="n">
        <v>1</v>
      </c>
      <c r="I3" s="7" t="n">
        <v>10</v>
      </c>
      <c r="J3" s="7" t="n">
        <v>15</v>
      </c>
      <c r="K3" s="7" t="n">
        <v>25</v>
      </c>
      <c r="L3" s="8" t="n">
        <f aca="false">I3*H3</f>
        <v>10</v>
      </c>
      <c r="M3" s="8" t="n">
        <f aca="false">J3*H3</f>
        <v>15</v>
      </c>
      <c r="N3" s="8" t="n">
        <f aca="false">K3*H3</f>
        <v>25</v>
      </c>
    </row>
    <row r="4" customFormat="false" ht="15" hidden="false" customHeight="false" outlineLevel="0" collapsed="false">
      <c r="A4" s="4"/>
      <c r="B4" s="4"/>
      <c r="C4" s="4"/>
      <c r="D4" s="4" t="s">
        <v>178</v>
      </c>
      <c r="E4" s="3" t="s">
        <v>179</v>
      </c>
      <c r="F4" s="3" t="s">
        <v>176</v>
      </c>
      <c r="G4" s="4" t="s">
        <v>177</v>
      </c>
      <c r="H4" s="6" t="n">
        <v>1</v>
      </c>
      <c r="I4" s="7" t="n">
        <v>6</v>
      </c>
      <c r="J4" s="7" t="n">
        <v>10</v>
      </c>
      <c r="K4" s="7" t="n">
        <v>16</v>
      </c>
      <c r="L4" s="8" t="n">
        <f aca="false">I4*H4</f>
        <v>6</v>
      </c>
      <c r="M4" s="8" t="n">
        <f aca="false">J4*H4</f>
        <v>10</v>
      </c>
      <c r="N4" s="8" t="n">
        <f aca="false">K4*H4</f>
        <v>16</v>
      </c>
    </row>
    <row r="5" customFormat="false" ht="15" hidden="false" customHeight="false" outlineLevel="0" collapsed="false">
      <c r="A5" s="4"/>
      <c r="B5" s="4"/>
      <c r="C5" s="4"/>
      <c r="D5" s="4" t="s">
        <v>180</v>
      </c>
      <c r="E5" s="3" t="s">
        <v>181</v>
      </c>
      <c r="F5" s="3" t="s">
        <v>176</v>
      </c>
      <c r="G5" s="4" t="s">
        <v>177</v>
      </c>
      <c r="H5" s="6" t="n">
        <v>1</v>
      </c>
      <c r="I5" s="7" t="n">
        <v>12</v>
      </c>
      <c r="J5" s="7" t="n">
        <v>18</v>
      </c>
      <c r="K5" s="7" t="n">
        <v>30</v>
      </c>
      <c r="L5" s="8" t="n">
        <f aca="false">I5*H5</f>
        <v>12</v>
      </c>
      <c r="M5" s="8" t="n">
        <f aca="false">J5*H5</f>
        <v>18</v>
      </c>
      <c r="N5" s="8" t="n">
        <f aca="false">K5*H5</f>
        <v>30</v>
      </c>
    </row>
    <row r="6" customFormat="false" ht="15" hidden="false" customHeight="false" outlineLevel="0" collapsed="false">
      <c r="A6" s="4"/>
      <c r="B6" s="4"/>
      <c r="C6" s="4"/>
      <c r="D6" s="4" t="s">
        <v>182</v>
      </c>
      <c r="E6" s="3" t="s">
        <v>183</v>
      </c>
      <c r="F6" s="3" t="s">
        <v>176</v>
      </c>
      <c r="G6" s="4" t="s">
        <v>177</v>
      </c>
      <c r="H6" s="6" t="n">
        <v>1</v>
      </c>
      <c r="I6" s="7" t="n">
        <v>8</v>
      </c>
      <c r="J6" s="7" t="n">
        <v>12</v>
      </c>
      <c r="K6" s="7" t="n">
        <v>20</v>
      </c>
      <c r="L6" s="8" t="n">
        <f aca="false">I6*H6</f>
        <v>8</v>
      </c>
      <c r="M6" s="8" t="n">
        <f aca="false">J6*H6</f>
        <v>12</v>
      </c>
      <c r="N6" s="8" t="n">
        <f aca="false">K6*H6</f>
        <v>20</v>
      </c>
    </row>
    <row r="7" customFormat="false" ht="15" hidden="false" customHeight="false" outlineLevel="0" collapsed="false">
      <c r="A7" s="4"/>
      <c r="B7" s="4"/>
      <c r="C7" s="4"/>
      <c r="D7" s="4" t="s">
        <v>184</v>
      </c>
      <c r="E7" s="3" t="s">
        <v>185</v>
      </c>
      <c r="F7" s="3" t="s">
        <v>176</v>
      </c>
      <c r="G7" s="4" t="s">
        <v>177</v>
      </c>
      <c r="H7" s="6" t="n">
        <v>1</v>
      </c>
      <c r="I7" s="7" t="n">
        <v>13</v>
      </c>
      <c r="J7" s="7" t="n">
        <v>20</v>
      </c>
      <c r="K7" s="7" t="n">
        <v>33</v>
      </c>
      <c r="L7" s="8" t="n">
        <f aca="false">I7*H7</f>
        <v>13</v>
      </c>
      <c r="M7" s="8" t="n">
        <f aca="false">J7*H7</f>
        <v>20</v>
      </c>
      <c r="N7" s="8" t="n">
        <f aca="false">K7*H7</f>
        <v>33</v>
      </c>
    </row>
    <row r="8" customFormat="false" ht="15" hidden="false" customHeight="false" outlineLevel="0" collapsed="false">
      <c r="A8" s="4"/>
      <c r="B8" s="4"/>
      <c r="C8" s="4"/>
      <c r="D8" s="4" t="s">
        <v>186</v>
      </c>
      <c r="E8" s="3" t="s">
        <v>187</v>
      </c>
      <c r="F8" s="3" t="s">
        <v>188</v>
      </c>
      <c r="G8" s="4" t="s">
        <v>177</v>
      </c>
      <c r="H8" s="6" t="n">
        <v>1</v>
      </c>
      <c r="I8" s="7" t="n">
        <v>10</v>
      </c>
      <c r="J8" s="7" t="n">
        <v>16</v>
      </c>
      <c r="K8" s="7" t="n">
        <v>26</v>
      </c>
      <c r="L8" s="8" t="n">
        <f aca="false">I8*H8</f>
        <v>10</v>
      </c>
      <c r="M8" s="8" t="n">
        <f aca="false">J8*H8</f>
        <v>16</v>
      </c>
      <c r="N8" s="8" t="n">
        <f aca="false">K8*H8</f>
        <v>26</v>
      </c>
    </row>
    <row r="9" customFormat="false" ht="15" hidden="false" customHeight="false" outlineLevel="0" collapsed="false">
      <c r="A9" s="4"/>
      <c r="B9" s="4"/>
      <c r="C9" s="4"/>
      <c r="D9" s="4" t="s">
        <v>189</v>
      </c>
      <c r="E9" s="3" t="s">
        <v>190</v>
      </c>
      <c r="F9" s="3" t="s">
        <v>188</v>
      </c>
      <c r="G9" s="4" t="s">
        <v>177</v>
      </c>
      <c r="H9" s="6" t="n">
        <v>1</v>
      </c>
      <c r="I9" s="7" t="n">
        <v>5</v>
      </c>
      <c r="J9" s="7" t="n">
        <v>8</v>
      </c>
      <c r="K9" s="7" t="n">
        <v>13</v>
      </c>
      <c r="L9" s="8" t="n">
        <f aca="false">I9*H9</f>
        <v>5</v>
      </c>
      <c r="M9" s="8" t="n">
        <f aca="false">J9*H9</f>
        <v>8</v>
      </c>
      <c r="N9" s="8" t="n">
        <f aca="false">K9*H9</f>
        <v>13</v>
      </c>
    </row>
    <row r="10" customFormat="false" ht="15" hidden="false" customHeight="false" outlineLevel="0" collapsed="false">
      <c r="A10" s="4"/>
      <c r="B10" s="4"/>
      <c r="C10" s="4"/>
      <c r="D10" s="4" t="s">
        <v>191</v>
      </c>
      <c r="E10" s="3" t="s">
        <v>192</v>
      </c>
      <c r="F10" s="3" t="s">
        <v>193</v>
      </c>
      <c r="G10" s="4" t="s">
        <v>177</v>
      </c>
      <c r="H10" s="6" t="n">
        <v>1</v>
      </c>
      <c r="I10" s="7" t="n">
        <v>9</v>
      </c>
      <c r="J10" s="7" t="n">
        <v>14</v>
      </c>
      <c r="K10" s="7" t="n">
        <v>23</v>
      </c>
      <c r="L10" s="8" t="n">
        <f aca="false">I10*H10</f>
        <v>9</v>
      </c>
      <c r="M10" s="8" t="n">
        <f aca="false">J10*H10</f>
        <v>14</v>
      </c>
      <c r="N10" s="8" t="n">
        <f aca="false">K10*H10</f>
        <v>23</v>
      </c>
    </row>
    <row r="11" customFormat="false" ht="15" hidden="false" customHeight="false" outlineLevel="0" collapsed="false">
      <c r="A11" s="4"/>
      <c r="B11" s="4"/>
      <c r="C11" s="4"/>
      <c r="D11" s="4" t="s">
        <v>194</v>
      </c>
      <c r="E11" s="3" t="s">
        <v>195</v>
      </c>
      <c r="F11" s="3" t="s">
        <v>196</v>
      </c>
      <c r="G11" s="4" t="s">
        <v>177</v>
      </c>
      <c r="H11" s="6" t="n">
        <v>1</v>
      </c>
      <c r="I11" s="7" t="n">
        <v>6</v>
      </c>
      <c r="J11" s="7" t="n">
        <v>10</v>
      </c>
      <c r="K11" s="7" t="n">
        <v>16</v>
      </c>
      <c r="L11" s="8" t="n">
        <f aca="false">I11*H11</f>
        <v>6</v>
      </c>
      <c r="M11" s="8" t="n">
        <f aca="false">J11*H11</f>
        <v>10</v>
      </c>
      <c r="N11" s="8" t="n">
        <f aca="false">K11*H11</f>
        <v>16</v>
      </c>
    </row>
    <row r="12" customFormat="false" ht="15" hidden="false" customHeight="false" outlineLevel="0" collapsed="false">
      <c r="A12" s="4"/>
      <c r="B12" s="4"/>
      <c r="C12" s="4"/>
      <c r="D12" s="4" t="s">
        <v>197</v>
      </c>
      <c r="E12" s="3" t="s">
        <v>198</v>
      </c>
      <c r="F12" s="3" t="s">
        <v>199</v>
      </c>
      <c r="G12" s="4" t="s">
        <v>177</v>
      </c>
      <c r="H12" s="6" t="n">
        <v>1</v>
      </c>
      <c r="I12" s="7" t="n">
        <v>4</v>
      </c>
      <c r="J12" s="7" t="n">
        <v>6</v>
      </c>
      <c r="K12" s="7" t="n">
        <v>10</v>
      </c>
      <c r="L12" s="8" t="n">
        <f aca="false">I12*H12</f>
        <v>4</v>
      </c>
      <c r="M12" s="8" t="n">
        <f aca="false">J12*H12</f>
        <v>6</v>
      </c>
      <c r="N12" s="8" t="n">
        <f aca="false">K12*H12</f>
        <v>10</v>
      </c>
    </row>
    <row r="13" customFormat="false" ht="15" hidden="false" customHeight="false" outlineLevel="0" collapsed="false">
      <c r="A13" s="4"/>
      <c r="B13" s="4"/>
      <c r="C13" s="4"/>
      <c r="D13" s="4" t="s">
        <v>200</v>
      </c>
      <c r="E13" s="3" t="s">
        <v>201</v>
      </c>
      <c r="F13" s="3" t="s">
        <v>202</v>
      </c>
      <c r="G13" s="4" t="s">
        <v>177</v>
      </c>
      <c r="H13" s="6" t="n">
        <v>1</v>
      </c>
      <c r="I13" s="7" t="n">
        <v>7</v>
      </c>
      <c r="J13" s="7" t="n">
        <v>11</v>
      </c>
      <c r="K13" s="7" t="n">
        <v>18</v>
      </c>
      <c r="L13" s="8" t="n">
        <f aca="false">I13*H13</f>
        <v>7</v>
      </c>
      <c r="M13" s="8" t="n">
        <f aca="false">J13*H13</f>
        <v>11</v>
      </c>
      <c r="N13" s="8" t="n">
        <f aca="false">K13*H13</f>
        <v>18</v>
      </c>
    </row>
    <row r="14" customFormat="false" ht="15" hidden="false" customHeight="false" outlineLevel="0" collapsed="false">
      <c r="A14" s="4"/>
      <c r="B14" s="4"/>
      <c r="C14" s="4"/>
      <c r="D14" s="4" t="s">
        <v>203</v>
      </c>
      <c r="E14" s="3" t="s">
        <v>204</v>
      </c>
      <c r="F14" s="3" t="s">
        <v>205</v>
      </c>
      <c r="G14" s="4" t="s">
        <v>177</v>
      </c>
      <c r="H14" s="6" t="n">
        <v>1</v>
      </c>
      <c r="I14" s="7" t="n">
        <v>5</v>
      </c>
      <c r="J14" s="7" t="n">
        <v>8</v>
      </c>
      <c r="K14" s="7" t="n">
        <v>13</v>
      </c>
      <c r="L14" s="8" t="n">
        <f aca="false">I14*H14</f>
        <v>5</v>
      </c>
      <c r="M14" s="8" t="n">
        <f aca="false">J14*H14</f>
        <v>8</v>
      </c>
      <c r="N14" s="8" t="n">
        <f aca="false">K14*H14</f>
        <v>13</v>
      </c>
    </row>
    <row r="15" customFormat="false" ht="15" hidden="false" customHeight="false" outlineLevel="0" collapsed="false">
      <c r="D15" s="10" t="s">
        <v>206</v>
      </c>
      <c r="L15" s="8" t="n">
        <f aca="false">SUM(L3:L14)</f>
        <v>95</v>
      </c>
      <c r="M15" s="8" t="n">
        <f aca="false">SUM(M3:M14)</f>
        <v>148</v>
      </c>
      <c r="N15" s="8" t="n">
        <f aca="false">SUM(N3:N14)</f>
        <v>243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9" min="6" style="0" width="12"/>
    <col collapsed="false" customWidth="true" hidden="false" outlineLevel="0" max="12" min="10" style="0" width="14"/>
    <col collapsed="false" customWidth="true" hidden="false" outlineLevel="0" max="14" min="13" style="0" width="12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6.85" hidden="false" customHeight="false" outlineLevel="0" collapsed="false">
      <c r="A2" s="5" t="s">
        <v>40</v>
      </c>
      <c r="B2" s="5" t="s">
        <v>41</v>
      </c>
      <c r="C2" s="5" t="s">
        <v>162</v>
      </c>
      <c r="D2" s="5" t="s">
        <v>15</v>
      </c>
      <c r="E2" s="5" t="s">
        <v>208</v>
      </c>
      <c r="F2" s="5" t="s">
        <v>209</v>
      </c>
      <c r="G2" s="5" t="s">
        <v>210</v>
      </c>
      <c r="H2" s="5" t="s">
        <v>211</v>
      </c>
      <c r="I2" s="5" t="s">
        <v>212</v>
      </c>
      <c r="J2" s="5" t="s">
        <v>213</v>
      </c>
      <c r="K2" s="5" t="s">
        <v>214</v>
      </c>
      <c r="L2" s="5" t="s">
        <v>215</v>
      </c>
      <c r="M2" s="5" t="s">
        <v>20</v>
      </c>
      <c r="N2" s="5" t="s">
        <v>216</v>
      </c>
      <c r="O2" s="5" t="s">
        <v>38</v>
      </c>
    </row>
    <row r="3" customFormat="false" ht="15" hidden="false" customHeight="false" outlineLevel="0" collapsed="false">
      <c r="A3" s="4"/>
      <c r="B3" s="4"/>
      <c r="C3" s="4"/>
      <c r="D3" s="4" t="s">
        <v>27</v>
      </c>
      <c r="E3" s="9" t="n">
        <f aca="false">IFERROR(VLOOKUP(D3,'1-Setup'!A17:B21,2,FALSE()),"")</f>
        <v>2</v>
      </c>
      <c r="F3" s="7"/>
      <c r="G3" s="7"/>
      <c r="H3" s="7"/>
      <c r="I3" s="8" t="str">
        <f aca="false">IFERROR(VLOOKUP(A3,'2-Scenario List'!A3:L17,11,FALSE()),"")</f>
        <v/>
      </c>
      <c r="J3" s="24" t="str">
        <f aca="false">IFERROR((G3-I3)/I3,"")</f>
        <v/>
      </c>
      <c r="K3" s="7"/>
      <c r="L3" s="12" t="str">
        <f aca="false">IFERROR(K3/G3,"")</f>
        <v/>
      </c>
      <c r="M3" s="4" t="s">
        <v>217</v>
      </c>
      <c r="N3" s="4" t="s">
        <v>23</v>
      </c>
      <c r="O3" s="4"/>
    </row>
    <row r="4" customFormat="false" ht="15" hidden="false" customHeight="false" outlineLevel="0" collapsed="false">
      <c r="A4" s="4"/>
      <c r="B4" s="4"/>
      <c r="C4" s="4"/>
      <c r="D4" s="4" t="s">
        <v>27</v>
      </c>
      <c r="E4" s="9" t="n">
        <f aca="false">IFERROR(VLOOKUP(D4,'1-Setup'!A17:B21,2,FALSE()),"")</f>
        <v>2</v>
      </c>
      <c r="F4" s="7"/>
      <c r="G4" s="7"/>
      <c r="H4" s="7"/>
      <c r="I4" s="8" t="str">
        <f aca="false">IFERROR(VLOOKUP(A4,'2-Scenario List'!A3:L17,11,FALSE()),"")</f>
        <v/>
      </c>
      <c r="J4" s="24" t="str">
        <f aca="false">IFERROR((G4-I4)/I4,"")</f>
        <v/>
      </c>
      <c r="K4" s="7"/>
      <c r="L4" s="12" t="str">
        <f aca="false">IFERROR(K4/G4,"")</f>
        <v/>
      </c>
      <c r="M4" s="4" t="s">
        <v>217</v>
      </c>
      <c r="N4" s="4" t="s">
        <v>23</v>
      </c>
      <c r="O4" s="4"/>
    </row>
    <row r="5" customFormat="false" ht="15" hidden="false" customHeight="false" outlineLevel="0" collapsed="false">
      <c r="A5" s="4"/>
      <c r="B5" s="4"/>
      <c r="C5" s="4"/>
      <c r="D5" s="4" t="s">
        <v>27</v>
      </c>
      <c r="E5" s="9" t="n">
        <f aca="false">IFERROR(VLOOKUP(D5,'1-Setup'!A17:B21,2,FALSE()),"")</f>
        <v>2</v>
      </c>
      <c r="F5" s="7"/>
      <c r="G5" s="7"/>
      <c r="H5" s="7"/>
      <c r="I5" s="8" t="str">
        <f aca="false">IFERROR(VLOOKUP(A5,'2-Scenario List'!A3:L17,11,FALSE()),"")</f>
        <v/>
      </c>
      <c r="J5" s="24" t="str">
        <f aca="false">IFERROR((G5-I5)/I5,"")</f>
        <v/>
      </c>
      <c r="K5" s="7"/>
      <c r="L5" s="12" t="str">
        <f aca="false">IFERROR(K5/G5,"")</f>
        <v/>
      </c>
      <c r="M5" s="4" t="s">
        <v>217</v>
      </c>
      <c r="N5" s="4" t="s">
        <v>23</v>
      </c>
      <c r="O5" s="4"/>
    </row>
    <row r="6" customFormat="false" ht="15" hidden="false" customHeight="false" outlineLevel="0" collapsed="false">
      <c r="A6" s="4"/>
      <c r="B6" s="4"/>
      <c r="C6" s="4"/>
      <c r="D6" s="4" t="s">
        <v>27</v>
      </c>
      <c r="E6" s="9" t="n">
        <f aca="false">IFERROR(VLOOKUP(D6,'1-Setup'!A17:B21,2,FALSE()),"")</f>
        <v>2</v>
      </c>
      <c r="F6" s="7"/>
      <c r="G6" s="7"/>
      <c r="H6" s="7"/>
      <c r="I6" s="8" t="str">
        <f aca="false">IFERROR(VLOOKUP(A6,'2-Scenario List'!A3:L17,11,FALSE()),"")</f>
        <v/>
      </c>
      <c r="J6" s="24" t="str">
        <f aca="false">IFERROR((G6-I6)/I6,"")</f>
        <v/>
      </c>
      <c r="K6" s="7"/>
      <c r="L6" s="12" t="str">
        <f aca="false">IFERROR(K6/G6,"")</f>
        <v/>
      </c>
      <c r="M6" s="4" t="s">
        <v>217</v>
      </c>
      <c r="N6" s="4" t="s">
        <v>23</v>
      </c>
      <c r="O6" s="4"/>
    </row>
    <row r="7" customFormat="false" ht="15" hidden="false" customHeight="false" outlineLevel="0" collapsed="false">
      <c r="A7" s="4"/>
      <c r="B7" s="4"/>
      <c r="C7" s="4"/>
      <c r="D7" s="4" t="s">
        <v>27</v>
      </c>
      <c r="E7" s="9" t="n">
        <f aca="false">IFERROR(VLOOKUP(D7,'1-Setup'!A17:B21,2,FALSE()),"")</f>
        <v>2</v>
      </c>
      <c r="F7" s="7"/>
      <c r="G7" s="7"/>
      <c r="H7" s="7"/>
      <c r="I7" s="8" t="str">
        <f aca="false">IFERROR(VLOOKUP(A7,'2-Scenario List'!A3:L17,11,FALSE()),"")</f>
        <v/>
      </c>
      <c r="J7" s="24" t="str">
        <f aca="false">IFERROR((G7-I7)/I7,"")</f>
        <v/>
      </c>
      <c r="K7" s="7"/>
      <c r="L7" s="12" t="str">
        <f aca="false">IFERROR(K7/G7,"")</f>
        <v/>
      </c>
      <c r="M7" s="4" t="s">
        <v>217</v>
      </c>
      <c r="N7" s="4" t="s">
        <v>23</v>
      </c>
      <c r="O7" s="4"/>
    </row>
    <row r="8" customFormat="false" ht="15" hidden="false" customHeight="false" outlineLevel="0" collapsed="false">
      <c r="A8" s="4"/>
      <c r="B8" s="4"/>
      <c r="C8" s="4"/>
      <c r="D8" s="4" t="s">
        <v>27</v>
      </c>
      <c r="E8" s="9" t="n">
        <f aca="false">IFERROR(VLOOKUP(D8,'1-Setup'!A17:B21,2,FALSE()),"")</f>
        <v>2</v>
      </c>
      <c r="F8" s="7"/>
      <c r="G8" s="7"/>
      <c r="H8" s="7"/>
      <c r="I8" s="8" t="str">
        <f aca="false">IFERROR(VLOOKUP(A8,'2-Scenario List'!A3:L17,11,FALSE()),"")</f>
        <v/>
      </c>
      <c r="J8" s="24" t="str">
        <f aca="false">IFERROR((G8-I8)/I8,"")</f>
        <v/>
      </c>
      <c r="K8" s="7"/>
      <c r="L8" s="12" t="str">
        <f aca="false">IFERROR(K8/G8,"")</f>
        <v/>
      </c>
      <c r="M8" s="4" t="s">
        <v>217</v>
      </c>
      <c r="N8" s="4" t="s">
        <v>23</v>
      </c>
      <c r="O8" s="4"/>
    </row>
    <row r="9" customFormat="false" ht="15" hidden="false" customHeight="false" outlineLevel="0" collapsed="false">
      <c r="A9" s="4"/>
      <c r="B9" s="4"/>
      <c r="C9" s="4"/>
      <c r="D9" s="4" t="s">
        <v>27</v>
      </c>
      <c r="E9" s="9" t="n">
        <f aca="false">IFERROR(VLOOKUP(D9,'1-Setup'!A17:B21,2,FALSE()),"")</f>
        <v>2</v>
      </c>
      <c r="F9" s="7"/>
      <c r="G9" s="7"/>
      <c r="H9" s="7"/>
      <c r="I9" s="8" t="str">
        <f aca="false">IFERROR(VLOOKUP(A9,'2-Scenario List'!A3:L17,11,FALSE()),"")</f>
        <v/>
      </c>
      <c r="J9" s="24" t="str">
        <f aca="false">IFERROR((G9-I9)/I9,"")</f>
        <v/>
      </c>
      <c r="K9" s="7"/>
      <c r="L9" s="12" t="str">
        <f aca="false">IFERROR(K9/G9,"")</f>
        <v/>
      </c>
      <c r="M9" s="4" t="s">
        <v>217</v>
      </c>
      <c r="N9" s="4" t="s">
        <v>23</v>
      </c>
      <c r="O9" s="4"/>
    </row>
    <row r="10" customFormat="false" ht="15" hidden="false" customHeight="false" outlineLevel="0" collapsed="false">
      <c r="A10" s="4"/>
      <c r="B10" s="4"/>
      <c r="C10" s="4"/>
      <c r="D10" s="4" t="s">
        <v>27</v>
      </c>
      <c r="E10" s="9" t="n">
        <f aca="false">IFERROR(VLOOKUP(D10,'1-Setup'!A17:B21,2,FALSE()),"")</f>
        <v>2</v>
      </c>
      <c r="F10" s="7"/>
      <c r="G10" s="7"/>
      <c r="H10" s="7"/>
      <c r="I10" s="8" t="str">
        <f aca="false">IFERROR(VLOOKUP(A10,'2-Scenario List'!A3:L17,11,FALSE()),"")</f>
        <v/>
      </c>
      <c r="J10" s="24" t="str">
        <f aca="false">IFERROR((G10-I10)/I10,"")</f>
        <v/>
      </c>
      <c r="K10" s="7"/>
      <c r="L10" s="12" t="str">
        <f aca="false">IFERROR(K10/G10,"")</f>
        <v/>
      </c>
      <c r="M10" s="4" t="s">
        <v>217</v>
      </c>
      <c r="N10" s="4" t="s">
        <v>23</v>
      </c>
      <c r="O10" s="4"/>
    </row>
    <row r="11" customFormat="false" ht="15" hidden="false" customHeight="false" outlineLevel="0" collapsed="false">
      <c r="A11" s="4"/>
      <c r="B11" s="4"/>
      <c r="C11" s="4"/>
      <c r="D11" s="4" t="s">
        <v>27</v>
      </c>
      <c r="E11" s="9" t="n">
        <f aca="false">IFERROR(VLOOKUP(D11,'1-Setup'!A17:B21,2,FALSE()),"")</f>
        <v>2</v>
      </c>
      <c r="F11" s="7"/>
      <c r="G11" s="7"/>
      <c r="H11" s="7"/>
      <c r="I11" s="8" t="str">
        <f aca="false">IFERROR(VLOOKUP(A11,'2-Scenario List'!A3:L17,11,FALSE()),"")</f>
        <v/>
      </c>
      <c r="J11" s="24" t="str">
        <f aca="false">IFERROR((G11-I11)/I11,"")</f>
        <v/>
      </c>
      <c r="K11" s="7"/>
      <c r="L11" s="12" t="str">
        <f aca="false">IFERROR(K11/G11,"")</f>
        <v/>
      </c>
      <c r="M11" s="4" t="s">
        <v>217</v>
      </c>
      <c r="N11" s="4" t="s">
        <v>23</v>
      </c>
      <c r="O11" s="4"/>
    </row>
    <row r="12" customFormat="false" ht="15" hidden="false" customHeight="false" outlineLevel="0" collapsed="false">
      <c r="A12" s="4"/>
      <c r="B12" s="4"/>
      <c r="C12" s="4"/>
      <c r="D12" s="4" t="s">
        <v>27</v>
      </c>
      <c r="E12" s="9" t="n">
        <f aca="false">IFERROR(VLOOKUP(D12,'1-Setup'!A17:B21,2,FALSE()),"")</f>
        <v>2</v>
      </c>
      <c r="F12" s="7"/>
      <c r="G12" s="7"/>
      <c r="H12" s="7"/>
      <c r="I12" s="8" t="str">
        <f aca="false">IFERROR(VLOOKUP(A12,'2-Scenario List'!A3:L17,11,FALSE()),"")</f>
        <v/>
      </c>
      <c r="J12" s="24" t="str">
        <f aca="false">IFERROR((G12-I12)/I12,"")</f>
        <v/>
      </c>
      <c r="K12" s="7"/>
      <c r="L12" s="12" t="str">
        <f aca="false">IFERROR(K12/G12,"")</f>
        <v/>
      </c>
      <c r="M12" s="4" t="s">
        <v>217</v>
      </c>
      <c r="N12" s="4" t="s">
        <v>23</v>
      </c>
      <c r="O12" s="4"/>
    </row>
    <row r="13" customFormat="false" ht="15" hidden="false" customHeight="false" outlineLevel="0" collapsed="false">
      <c r="A13" s="4"/>
      <c r="B13" s="4"/>
      <c r="C13" s="4"/>
      <c r="D13" s="4" t="s">
        <v>27</v>
      </c>
      <c r="E13" s="9" t="n">
        <f aca="false">IFERROR(VLOOKUP(D13,'1-Setup'!A17:B21,2,FALSE()),"")</f>
        <v>2</v>
      </c>
      <c r="F13" s="7"/>
      <c r="G13" s="7"/>
      <c r="H13" s="7"/>
      <c r="I13" s="8" t="str">
        <f aca="false">IFERROR(VLOOKUP(A13,'2-Scenario List'!A3:L17,11,FALSE()),"")</f>
        <v/>
      </c>
      <c r="J13" s="24" t="str">
        <f aca="false">IFERROR((G13-I13)/I13,"")</f>
        <v/>
      </c>
      <c r="K13" s="7"/>
      <c r="L13" s="12" t="str">
        <f aca="false">IFERROR(K13/G13,"")</f>
        <v/>
      </c>
      <c r="M13" s="4" t="s">
        <v>217</v>
      </c>
      <c r="N13" s="4" t="s">
        <v>23</v>
      </c>
      <c r="O13" s="4"/>
    </row>
    <row r="14" customFormat="false" ht="15" hidden="false" customHeight="false" outlineLevel="0" collapsed="false">
      <c r="A14" s="4"/>
      <c r="B14" s="4"/>
      <c r="C14" s="4"/>
      <c r="D14" s="4" t="s">
        <v>27</v>
      </c>
      <c r="E14" s="9" t="n">
        <f aca="false">IFERROR(VLOOKUP(D14,'1-Setup'!A17:B21,2,FALSE()),"")</f>
        <v>2</v>
      </c>
      <c r="F14" s="7"/>
      <c r="G14" s="7"/>
      <c r="H14" s="7"/>
      <c r="I14" s="8" t="str">
        <f aca="false">IFERROR(VLOOKUP(A14,'2-Scenario List'!A3:L17,11,FALSE()),"")</f>
        <v/>
      </c>
      <c r="J14" s="24" t="str">
        <f aca="false">IFERROR((G14-I14)/I14,"")</f>
        <v/>
      </c>
      <c r="K14" s="7"/>
      <c r="L14" s="12" t="str">
        <f aca="false">IFERROR(K14/G14,"")</f>
        <v/>
      </c>
      <c r="M14" s="4" t="s">
        <v>217</v>
      </c>
      <c r="N14" s="4" t="s">
        <v>23</v>
      </c>
      <c r="O14" s="4"/>
    </row>
    <row r="15" customFormat="false" ht="15" hidden="false" customHeight="false" outlineLevel="0" collapsed="false">
      <c r="A15" s="4"/>
      <c r="B15" s="4"/>
      <c r="C15" s="4"/>
      <c r="D15" s="4" t="s">
        <v>27</v>
      </c>
      <c r="E15" s="9" t="n">
        <f aca="false">IFERROR(VLOOKUP(D15,'1-Setup'!A17:B21,2,FALSE()),"")</f>
        <v>2</v>
      </c>
      <c r="F15" s="7"/>
      <c r="G15" s="7"/>
      <c r="H15" s="7"/>
      <c r="I15" s="8" t="str">
        <f aca="false">IFERROR(VLOOKUP(A15,'2-Scenario List'!A3:L17,11,FALSE()),"")</f>
        <v/>
      </c>
      <c r="J15" s="24" t="str">
        <f aca="false">IFERROR((G15-I15)/I15,"")</f>
        <v/>
      </c>
      <c r="K15" s="7"/>
      <c r="L15" s="12" t="str">
        <f aca="false">IFERROR(K15/G15,"")</f>
        <v/>
      </c>
      <c r="M15" s="4" t="s">
        <v>217</v>
      </c>
      <c r="N15" s="4" t="s">
        <v>23</v>
      </c>
      <c r="O15" s="4"/>
    </row>
    <row r="16" customFormat="false" ht="15" hidden="false" customHeight="false" outlineLevel="0" collapsed="false">
      <c r="A16" s="4"/>
      <c r="B16" s="4"/>
      <c r="C16" s="4"/>
      <c r="D16" s="4" t="s">
        <v>27</v>
      </c>
      <c r="E16" s="9" t="n">
        <f aca="false">IFERROR(VLOOKUP(D16,'1-Setup'!A17:B21,2,FALSE()),"")</f>
        <v>2</v>
      </c>
      <c r="F16" s="7"/>
      <c r="G16" s="7"/>
      <c r="H16" s="7"/>
      <c r="I16" s="8" t="str">
        <f aca="false">IFERROR(VLOOKUP(A16,'2-Scenario List'!A3:L17,11,FALSE()),"")</f>
        <v/>
      </c>
      <c r="J16" s="24" t="str">
        <f aca="false">IFERROR((G16-I16)/I16,"")</f>
        <v/>
      </c>
      <c r="K16" s="7"/>
      <c r="L16" s="12" t="str">
        <f aca="false">IFERROR(K16/G16,"")</f>
        <v/>
      </c>
      <c r="M16" s="4" t="s">
        <v>217</v>
      </c>
      <c r="N16" s="4" t="s">
        <v>23</v>
      </c>
      <c r="O16" s="4"/>
    </row>
    <row r="17" customFormat="false" ht="15" hidden="false" customHeight="false" outlineLevel="0" collapsed="false">
      <c r="A17" s="4"/>
      <c r="B17" s="4"/>
      <c r="C17" s="4"/>
      <c r="D17" s="4" t="s">
        <v>27</v>
      </c>
      <c r="E17" s="9" t="n">
        <f aca="false">IFERROR(VLOOKUP(D17,'1-Setup'!A17:B21,2,FALSE()),"")</f>
        <v>2</v>
      </c>
      <c r="F17" s="7"/>
      <c r="G17" s="7"/>
      <c r="H17" s="7"/>
      <c r="I17" s="8" t="str">
        <f aca="false">IFERROR(VLOOKUP(A17,'2-Scenario List'!A3:L17,11,FALSE()),"")</f>
        <v/>
      </c>
      <c r="J17" s="24" t="str">
        <f aca="false">IFERROR((G17-I17)/I17,"")</f>
        <v/>
      </c>
      <c r="K17" s="7"/>
      <c r="L17" s="12" t="str">
        <f aca="false">IFERROR(K17/G17,"")</f>
        <v/>
      </c>
      <c r="M17" s="4" t="s">
        <v>217</v>
      </c>
      <c r="N17" s="4" t="s">
        <v>23</v>
      </c>
      <c r="O17" s="4"/>
    </row>
    <row r="18" customFormat="false" ht="15" hidden="false" customHeight="false" outlineLevel="0" collapsed="false">
      <c r="A18" s="10" t="s">
        <v>133</v>
      </c>
      <c r="F18" s="8" t="n">
        <f aca="false">SUM(F3:F17)</f>
        <v>0</v>
      </c>
      <c r="G18" s="8" t="n">
        <f aca="false">SUM(G3:G17)</f>
        <v>0</v>
      </c>
      <c r="H18" s="8" t="n">
        <f aca="false">SUM(H3:H17)</f>
        <v>0</v>
      </c>
      <c r="I18" s="8" t="n">
        <f aca="false">SUM(I3:I17)</f>
        <v>0</v>
      </c>
      <c r="K18" s="8" t="n">
        <f aca="false">SUM(K3:K17)</f>
        <v>0</v>
      </c>
      <c r="L18" s="12" t="str">
        <f aca="false">IFERROR(K18/G18,"")</f>
        <v/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2026-04-07T14:56:49Z</dcterms:created>
  <dc:creator>openpyxl</dc:creator>
  <dc:description/>
  <dc:language>en-US</dc:language>
  <cp:lastModifiedBy/>
  <dcterms:modified xsi:type="dcterms:W3CDTF">2026-04-07T14:56:49Z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