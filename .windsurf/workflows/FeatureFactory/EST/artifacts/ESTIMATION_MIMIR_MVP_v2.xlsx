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Client Quote" sheetId="1" state="visible" r:id="rId1"/>
    <sheet xmlns:r="http://schemas.openxmlformats.org/officeDocument/2006/relationships" name="1-Setup" sheetId="2" state="visible" r:id="rId2"/>
    <sheet xmlns:r="http://schemas.openxmlformats.org/officeDocument/2006/relationships" name="2-Scenario List" sheetId="3" state="visible" r:id="rId3"/>
    <sheet xmlns:r="http://schemas.openxmlformats.org/officeDocument/2006/relationships" name="3-ECF" sheetId="4" state="visible" r:id="rId4"/>
    <sheet xmlns:r="http://schemas.openxmlformats.org/officeDocument/2006/relationships" name="4-TCF" sheetId="5" state="visible" r:id="rId5"/>
    <sheet xmlns:r="http://schemas.openxmlformats.org/officeDocument/2006/relationships" name="5-Rough Estimates" sheetId="6" state="visible" r:id="rId6"/>
    <sheet xmlns:r="http://schemas.openxmlformats.org/officeDocument/2006/relationships" name="6-Monte Carlo" sheetId="7" state="visible" r:id="rId7"/>
    <sheet xmlns:r="http://schemas.openxmlformats.org/officeDocument/2006/relationships" name="7-WBS Features" sheetId="8" state="visible" r:id="rId8"/>
    <sheet xmlns:r="http://schemas.openxmlformats.org/officeDocument/2006/relationships" name="8-Detailed Estimates" sheetId="9" state="visible" r:id="rId9"/>
  </sheets>
  <definedNames/>
  <calcPr calcId="124519" fullCalcOnLoad="1"/>
</workbook>
</file>

<file path=xl/sharedStrings.xml><?xml version="1.0" encoding="utf-8"?>
<sst xmlns="http://schemas.openxmlformats.org/spreadsheetml/2006/main" count="929" uniqueCount="929">
  <si>
    <t xml:space="preserve">FORGE Estimation — Client Quote  (AFP × $/FP)</t>
  </si>
  <si>
    <t xml:space="preserve">A. PRICING PARAMETERS  (Stack Factor × Org Factor × $/FP)</t>
  </si>
  <si>
    <t xml:space="preserve">Parameter</t>
  </si>
  <si>
    <t xml:space="preserve">Value</t>
  </si>
  <si>
    <t xml:space="preserve">Description / Source</t>
  </si>
  <si>
    <t xml:space="preserve">Stack Factor (base tier)</t>
  </si>
  <si>
    <t xml:space="preserve">Standard single stack: Django + HTMX + SQLite (no legacy, no enterprise platform)</t>
  </si>
  <si>
    <t xml:space="preserve">Stack Factor modifiers</t>
  </si>
  <si>
    <t xml:space="preserve">No modifiers: greenfield project, no on-prem, no legacy integration, no mobile</t>
  </si>
  <si>
    <t xml:space="preserve">Stack Factor TOTAL</t>
  </si>
  <si>
    <t xml:space="preserve">Effective Stack Factor = 1.00</t>
  </si>
  <si>
    <t xml:space="preserve">Org Factor</t>
  </si>
  <si>
    <t xml:space="preserve">Solo developer, personal project, flat structure — startup-like (0.80)</t>
  </si>
  <si>
    <t xml:space="preserve">$/FP Rate</t>
  </si>
  <si>
    <t xml:space="preserve">SEED $250/FP — update after 3 sprints via EST-08. Includes ~3× markup over API cost.</t>
  </si>
  <si>
    <t xml:space="preserve">$/FP Status</t>
  </si>
  <si>
    <t xml:space="preserve">SEED</t>
  </si>
  <si>
    <t xml:space="preserve">Change to CALIBRATED after 3 sprints of actuals (EST-08 sprint close)</t>
  </si>
  <si>
    <t xml:space="preserve">B. QUOTE SUMMARY  (AFP = FP × Stack × Org)</t>
  </si>
  <si>
    <t xml:space="preserve">Line Item</t>
  </si>
  <si>
    <t xml:space="preserve">FP</t>
  </si>
  <si>
    <t xml:space="preserve">Stack × Org Adj.</t>
  </si>
  <si>
    <t xml:space="preserve">AFP</t>
  </si>
  <si>
    <t xml:space="preserve">$ Total (AFP × $/FP)</t>
  </si>
  <si>
    <t xml:space="preserve">Sprint 0 — Project Setup (BSP + DSP)</t>
  </si>
  <si>
    <t xml:space="preserve">Feature Delivery (from Scenario List)</t>
  </si>
  <si>
    <t xml:space="preserve">PROJECT TOTAL</t>
  </si>
  <si>
    <t xml:space="preserve">C. DELIVERY COMMITMENT BANDS  (from Monte Carlo — EST-07)</t>
  </si>
  <si>
    <t xml:space="preserve">Percentile</t>
  </si>
  <si>
    <t xml:space="preserve">AFP (adj. for band)</t>
  </si>
  <si>
    <t xml:space="preserve">$ Total</t>
  </si>
  <si>
    <t xml:space="preserve">Duration (days)</t>
  </si>
  <si>
    <t xml:space="preserve">Est. Completion Date</t>
  </si>
  <si>
    <t xml:space="preserve">P10</t>
  </si>
  <si>
    <t xml:space="preserve">P50 — Median</t>
  </si>
  <si>
    <t xml:space="preserve">P80 — Planning Target ★</t>
  </si>
  <si>
    <t xml:space="preserve">P95 — Conservative</t>
  </si>
  <si>
    <t xml:space="preserve">D. NOTES</t>
  </si>
  <si>
    <t xml:space="preserve">Calibration context: Mimir MVP v1 estimated 114.5 SP / 6,433K tokens → actual VF = 0.40×.</t>
  </si>
  <si>
    <t xml:space="preserve">Root cause: scenario count used as sizing proxy (Playbooks VF=0.19×). v2 fix: reuse discount applied.</t>
  </si>
  <si>
    <t xml:space="preserve">New SP = 58 (−49%). Token budget: 4,060K exp. VF target: 0.9–1.3× (Activities anchor 1.21×).</t>
  </si>
  <si>
    <t xml:space="preserve">$/FP SEED $250 — calibrate after Sprint 1 via EST-08.  Sprint 0 not included (project bootstrapped).</t>
  </si>
  <si>
    <t xml:space="preserve">FORGE Estimation Template — Setup &amp; Calibration</t>
  </si>
  <si>
    <t xml:space="preserve">A. PROJECT PARAMETERS</t>
  </si>
  <si>
    <t xml:space="preserve">Project Name</t>
  </si>
  <si>
    <t xml:space="preserve">Mimir FOB — MVP Estimation v2 (calibrated sizing)</t>
  </si>
  <si>
    <t xml:space="preserve">Sprint Duration (days)</t>
  </si>
  <si>
    <t xml:space="preserve">Daily Token Throughput (K tokens)</t>
  </si>
  <si>
    <t xml:space="preserve">AI Model</t>
  </si>
  <si>
    <t xml:space="preserve">Claude Sonnet 4.x</t>
  </si>
  <si>
    <t xml:space="preserve">Productivity Adjustment Factor (PAF)</t>
  </si>
  <si>
    <t xml:space="preserve">Rework Surcharge (%)</t>
  </si>
  <si>
    <t xml:space="preserve">Combined Risk Multiplier (ECF × TCF — internal)</t>
  </si>
  <si>
    <t xml:space="preserve">Estimation Phase</t>
  </si>
  <si>
    <t xml:space="preserve">Architecture Complete (SAO.md exists)</t>
  </si>
  <si>
    <t xml:space="preserve">Convergence Min Multiplier</t>
  </si>
  <si>
    <t xml:space="preserve">Convergence Max Multiplier</t>
  </si>
  <si>
    <t xml:space="preserve">B. REFERENCE STORY BASELINES  (SP = internal effort | FP = client deliverable)</t>
  </si>
  <si>
    <t xml:space="preserve">Size</t>
  </si>
  <si>
    <t xml:space="preserve">SP (internal)</t>
  </si>
  <si>
    <t xml:space="preserve">FP weight (client)</t>
  </si>
  <si>
    <t xml:space="preserve">K Min (K tok)</t>
  </si>
  <si>
    <t xml:space="preserve">K Exp (K tok)</t>
  </si>
  <si>
    <t xml:space="preserve">K Max (K tok)</t>
  </si>
  <si>
    <t xml:space="preserve">Status</t>
  </si>
  <si>
    <t xml:space="preserve">Source / Notes</t>
  </si>
  <si>
    <t xml:space="preserve">XS</t>
  </si>
  <si>
    <t xml:space="preserve">Simple modal, inline form, config entry</t>
  </si>
  <si>
    <t xml:space="preserve">S</t>
  </si>
  <si>
    <t xml:space="preserve">Single CRUD screen, service+repo+view+tests</t>
  </si>
  <si>
    <t xml:space="preserve">M</t>
  </si>
  <si>
    <t xml:space="preserve">Full BPE cycle, first-time entity or novel component</t>
  </si>
  <si>
    <t xml:space="preserve">L</t>
  </si>
  <si>
    <t xml:space="preserve">Cross-cutting or network integration (e.g. SYNC)</t>
  </si>
  <si>
    <t xml:space="preserve">XL</t>
  </si>
  <si>
    <t xml:space="preserve">Complex subsystem — not used in v2 Mimir estimate</t>
  </si>
  <si>
    <t xml:space="preserve">SP drives internal token budget (Est. = SP × K × ECF×TCF).  FP weights drive client AFP (AFP = Σ FP × Stack × Org).  L=5 SP / 3 FP and XL=8 SP / 5 FP — complex work ≠ proportional client value.</t>
  </si>
  <si>
    <t xml:space="preserve">C. SPRINT CAPACITY PLANNING</t>
  </si>
  <si>
    <t xml:space="preserve">Sprint #</t>
  </si>
  <si>
    <t xml:space="preserve">SP Capacity</t>
  </si>
  <si>
    <t xml:space="preserve">Token Budget (K, expected)</t>
  </si>
  <si>
    <t xml:space="preserve">Token Budget (K, max)</t>
  </si>
  <si>
    <t xml:space="preserve">Notes</t>
  </si>
  <si>
    <t xml:space="preserve">Scenario List — Level 1 T-Shirt Sizing  (SP = internal | FP = client)</t>
  </si>
  <si>
    <t xml:space="preserve">Scenario ID</t>
  </si>
  <si>
    <t xml:space="preserve">Feature</t>
  </si>
  <si>
    <t xml:space="preserve">Act/Group</t>
  </si>
  <si>
    <t xml:space="preserve">Scenario Description</t>
  </si>
  <si>
    <t xml:space="preserve">K Min</t>
  </si>
  <si>
    <t xml:space="preserve">K Exp</t>
  </si>
  <si>
    <t xml:space="preserve">K Max</t>
  </si>
  <si>
    <t xml:space="preserve">Adj K Min</t>
  </si>
  <si>
    <t xml:space="preserve">Adj K Exp</t>
  </si>
  <si>
    <t xml:space="preserve">Adj K Max</t>
  </si>
  <si>
    <t xml:space="preserve">Notes / Assumptions</t>
  </si>
  <si>
    <t xml:space="preserve">ACT0-AUTH-01</t>
  </si>
  <si>
    <t xml:space="preserve">authentication.feature</t>
  </si>
  <si>
    <t xml:space="preserve">Act 0</t>
  </si>
  <si>
    <t xml:space="preserve">Login, logout, session management (first auth model)</t>
  </si>
  <si>
    <t xml:space="preserve">v2: First novel entity with auth logic; appropriate S</t>
  </si>
  <si>
    <t xml:space="preserve">ACT0-NAV-01</t>
  </si>
  <si>
    <t xml:space="preserve">navigation.feature</t>
  </si>
  <si>
    <t xml:space="preserve">Main nav, breadcrumbs, global search</t>
  </si>
  <si>
    <t xml:space="preserve">v2: Config/template-heavy, minimal model work → v2 rule: config=XS</t>
  </si>
  <si>
    <t xml:space="preserve">ACT0-ONBOARD-01</t>
  </si>
  <si>
    <t xml:space="preserve">onboarding.feature</t>
  </si>
  <si>
    <t xml:space="preserve">First-run setup, local user creation</t>
  </si>
  <si>
    <t xml:space="preserve">v2: First-run wizard with model → S appropriate</t>
  </si>
  <si>
    <t xml:space="preserve">PB-LIST-01</t>
  </si>
  <si>
    <t xml:space="preserve">playbooks-list-find</t>
  </si>
  <si>
    <t xml:space="preserve">Act 2</t>
  </si>
  <si>
    <t xml:space="preserve">Playbooks list+search+filter, dashboard entry</t>
  </si>
  <si>
    <t xml:space="preserve">v2: First list view with search — novel enough for M (not L; search reuses Django ORM)</t>
  </si>
  <si>
    <t xml:space="preserve">PB-CREATE-01</t>
  </si>
  <si>
    <t xml:space="preserve">playbooks-create</t>
  </si>
  <si>
    <t xml:space="preserve">Create new playbook wizard (DRAFT flow)</t>
  </si>
  <si>
    <t xml:space="preserve">v2: First create with wizard UX — M; not L since DRAFT flag is simple state</t>
  </si>
  <si>
    <t xml:space="preserve">PB-VIEW-01</t>
  </si>
  <si>
    <t xml:space="preserve">playbooks-view</t>
  </si>
  <si>
    <t xml:space="preserve">Playbook detail, workflow tab, metadata</t>
  </si>
  <si>
    <t xml:space="preserve">v2: Detail view with related tab — M; reuses pattern after PB-CREATE</t>
  </si>
  <si>
    <t xml:space="preserve">PB-EDIT-01</t>
  </si>
  <si>
    <t xml:space="preserve">playbooks-edit</t>
  </si>
  <si>
    <t xml:space="preserve">Edit playbook metadata, status management</t>
  </si>
  <si>
    <t xml:space="preserve">v2: Edit form reuses create pattern → v2 rule: Nth CRUD entity = S</t>
  </si>
  <si>
    <t xml:space="preserve">PB-DELETE-01</t>
  </si>
  <si>
    <t xml:space="preserve">playbooks-delete</t>
  </si>
  <si>
    <t xml:space="preserve">Delete confirmation modal, dependency check</t>
  </si>
  <si>
    <t xml:space="preserve">v2: Delete modal with dep-check — S (check adds minor complexity over pure XS)</t>
  </si>
  <si>
    <t xml:space="preserve">PB-VERSION-01</t>
  </si>
  <si>
    <t xml:space="preserve">playbooks-versioning</t>
  </si>
  <si>
    <t xml:space="preserve">Draft→Release versioning, version history</t>
  </si>
  <si>
    <t xml:space="preserve">v2: First versioning feature — novel state machine → M</t>
  </si>
  <si>
    <t xml:space="preserve">WF-LIST-01</t>
  </si>
  <si>
    <t xml:space="preserve">workflows-list-find</t>
  </si>
  <si>
    <t xml:space="preserve">Act 3</t>
  </si>
  <si>
    <t xml:space="preserve">Workflows list inside playbook, search</t>
  </si>
  <si>
    <t xml:space="preserve">v2: Reuses PB list pattern → v2 rule: 2nd CRUD entity of list type = S</t>
  </si>
  <si>
    <t xml:space="preserve">WF-CREATE-01</t>
  </si>
  <si>
    <t xml:space="preserve">workflows-create</t>
  </si>
  <si>
    <t xml:space="preserve">Create workflow, phase org toggle</t>
  </si>
  <si>
    <t xml:space="preserve">v2: Reuses PB create pattern → S</t>
  </si>
  <si>
    <t xml:space="preserve">WF-VIEW-01</t>
  </si>
  <si>
    <t xml:space="preserve">workflows-view</t>
  </si>
  <si>
    <t xml:space="preserve">Workflow detail, Graphviz activity diagram</t>
  </si>
  <si>
    <t xml:space="preserve">v2: Graphviz rendering is a novel component → M</t>
  </si>
  <si>
    <t xml:space="preserve">WF-EDIT-01</t>
  </si>
  <si>
    <t xml:space="preserve">workflows-edit</t>
  </si>
  <si>
    <t xml:space="preserve">Edit workflow name/description</t>
  </si>
  <si>
    <t xml:space="preserve">v2: Simple edit form, full pattern reuse → XS</t>
  </si>
  <si>
    <t xml:space="preserve">WF-DELETE-01</t>
  </si>
  <si>
    <t xml:space="preserve">workflows-delete</t>
  </si>
  <si>
    <t xml:space="preserve">Delete workflow confirmation</t>
  </si>
  <si>
    <t xml:space="preserve">v2: Reuses delete modal pattern → XS</t>
  </si>
  <si>
    <t xml:space="preserve">WF-EXPORT-01</t>
  </si>
  <si>
    <t xml:space="preserve">workflows-export-import</t>
  </si>
  <si>
    <t xml:space="preserve">Export/import workflow to/from local .md</t>
  </si>
  <si>
    <t xml:space="preserve">v2: File I/O is novel — first export feature → M</t>
  </si>
  <si>
    <t xml:space="preserve">PH-LIST-01</t>
  </si>
  <si>
    <t xml:space="preserve">phases-list-find</t>
  </si>
  <si>
    <t xml:space="preserve">Act 4</t>
  </si>
  <si>
    <t xml:space="preserve">Phases list inside workflow</t>
  </si>
  <si>
    <t xml:space="preserve">v2: Nested list, reuses pattern, no search needed → XS</t>
  </si>
  <si>
    <t xml:space="preserve">PH-CREATE-01</t>
  </si>
  <si>
    <t xml:space="preserve">phases-create</t>
  </si>
  <si>
    <t xml:space="preserve">Create phase inline form</t>
  </si>
  <si>
    <t xml:space="preserve">v2: Inline form, no service layer → XS</t>
  </si>
  <si>
    <t xml:space="preserve">PH-VIEW-01</t>
  </si>
  <si>
    <t xml:space="preserve">phases-view</t>
  </si>
  <si>
    <t xml:space="preserve">Phase detail, activities in phase</t>
  </si>
  <si>
    <t xml:space="preserve">v2: Simple container view → XS</t>
  </si>
  <si>
    <t xml:space="preserve">PH-EDIT-01</t>
  </si>
  <si>
    <t xml:space="preserve">phases-edit</t>
  </si>
  <si>
    <t xml:space="preserve">Edit phase name/order</t>
  </si>
  <si>
    <t xml:space="preserve">v2: Edit inline form → XS</t>
  </si>
  <si>
    <t xml:space="preserve">PH-DELETE-01</t>
  </si>
  <si>
    <t xml:space="preserve">phases-delete</t>
  </si>
  <si>
    <t xml:space="preserve">Delete phase, reassign activities</t>
  </si>
  <si>
    <t xml:space="preserve">v2: Reassign logic adds minor work but still XS</t>
  </si>
  <si>
    <t xml:space="preserve">ACT-LIST-01</t>
  </si>
  <si>
    <t xml:space="preserve">activities-list-find</t>
  </si>
  <si>
    <t xml:space="preserve">Act 5</t>
  </si>
  <si>
    <t xml:space="preserve">Activities list, grouped by phase, search</t>
  </si>
  <si>
    <t xml:space="preserve">v2: Grouped-by-phase display is a novel layout → M (VF=1.21× confirmed accurate for Activities)</t>
  </si>
  <si>
    <t xml:space="preserve">ACT-CREATE-01</t>
  </si>
  <si>
    <t xml:space="preserve">activities-create</t>
  </si>
  <si>
    <t xml:space="preserve">Create activity with Markdown guidance</t>
  </si>
  <si>
    <t xml:space="preserve">v2: New model with Markdown field — S</t>
  </si>
  <si>
    <t xml:space="preserve">ACT-VIEW-01</t>
  </si>
  <si>
    <t xml:space="preserve">activities-view</t>
  </si>
  <si>
    <t xml:space="preserve">Activity detail, Mermaid rendering, deps</t>
  </si>
  <si>
    <t xml:space="preserve">v2: Mermaid component is new but small — S</t>
  </si>
  <si>
    <t xml:space="preserve">ACT-EDIT-01</t>
  </si>
  <si>
    <t xml:space="preserve">activities-edit</t>
  </si>
  <si>
    <t xml:space="preserve">Edit activity guidance, phase, order</t>
  </si>
  <si>
    <t xml:space="preserve">v2: Reuses edit pattern → XS</t>
  </si>
  <si>
    <t xml:space="preserve">ACT-DELETE-01</t>
  </si>
  <si>
    <t xml:space="preserve">activities-delete</t>
  </si>
  <si>
    <t xml:space="preserve">Delete activity confirmation</t>
  </si>
  <si>
    <t xml:space="preserve">v2: Reuses delete pattern → XS</t>
  </si>
  <si>
    <t xml:space="preserve">ART-LIST-01</t>
  </si>
  <si>
    <t xml:space="preserve">artifacts-list-find</t>
  </si>
  <si>
    <t xml:space="preserve">Act 6</t>
  </si>
  <si>
    <t xml:space="preserve">Artifacts list, filter by type</t>
  </si>
  <si>
    <t xml:space="preserve">v2: Reuses list pattern, type filter is minor → S</t>
  </si>
  <si>
    <t xml:space="preserve">ART-CREATE-01</t>
  </si>
  <si>
    <t xml:space="preserve">artifacts-create</t>
  </si>
  <si>
    <t xml:space="preserve">Create artifact with type, description</t>
  </si>
  <si>
    <t xml:space="preserve">v2: Reuses create pattern → XS</t>
  </si>
  <si>
    <t xml:space="preserve">ART-VIEW-01</t>
  </si>
  <si>
    <t xml:space="preserve">artifacts-view</t>
  </si>
  <si>
    <t xml:space="preserve">Artifact detail, linked activities</t>
  </si>
  <si>
    <t xml:space="preserve">v2: M2M display in view — S (not M; display is read-only)</t>
  </si>
  <si>
    <t xml:space="preserve">ART-EDIT-01</t>
  </si>
  <si>
    <t xml:space="preserve">artifacts-edit</t>
  </si>
  <si>
    <t xml:space="preserve">Edit artifact metadata</t>
  </si>
  <si>
    <t xml:space="preserve">ART-DELETE-01</t>
  </si>
  <si>
    <t xml:space="preserve">artifacts-delete</t>
  </si>
  <si>
    <t xml:space="preserve">Delete artifact, unlink from activities</t>
  </si>
  <si>
    <t xml:space="preserve">ART-FLOW-01</t>
  </si>
  <si>
    <t xml:space="preserve">artifacts-flow</t>
  </si>
  <si>
    <t xml:space="preserve">Artifact I/O flow: link/unlink producer-consumer</t>
  </si>
  <si>
    <t xml:space="preserve">v2: Novel producer-consumer M2M linking UI → M (was XL — over-sized; no external API involved)</t>
  </si>
  <si>
    <t xml:space="preserve">AG-LIST-01</t>
  </si>
  <si>
    <t xml:space="preserve">agents-list-find</t>
  </si>
  <si>
    <t xml:space="preserve">Act 7</t>
  </si>
  <si>
    <t xml:space="preserve">Agents list, search by name/type</t>
  </si>
  <si>
    <t xml:space="preserve">v2: Reuses list pattern → XS</t>
  </si>
  <si>
    <t xml:space="preserve">AG-CREATE-01</t>
  </si>
  <si>
    <t xml:space="preserve">agents-create</t>
  </si>
  <si>
    <t xml:space="preserve">Create agent (name, type, config)</t>
  </si>
  <si>
    <t xml:space="preserve">v2: Simple form → XS</t>
  </si>
  <si>
    <t xml:space="preserve">AG-VIEW-01</t>
  </si>
  <si>
    <t xml:space="preserve">agents-view</t>
  </si>
  <si>
    <t xml:space="preserve">Agent detail, linked activities</t>
  </si>
  <si>
    <t xml:space="preserve">v2: Read-only view, reuses pattern → XS</t>
  </si>
  <si>
    <t xml:space="preserve">AG-EDIT-01</t>
  </si>
  <si>
    <t xml:space="preserve">agents-edit</t>
  </si>
  <si>
    <t xml:space="preserve">Edit agent config</t>
  </si>
  <si>
    <t xml:space="preserve">AG-DELETE-01</t>
  </si>
  <si>
    <t xml:space="preserve">agents-delete</t>
  </si>
  <si>
    <t xml:space="preserve">Delete agent confirmation</t>
  </si>
  <si>
    <t xml:space="preserve">SK-LIST-01</t>
  </si>
  <si>
    <t xml:space="preserve">skills-list-find</t>
  </si>
  <si>
    <t xml:space="preserve">Act 8</t>
  </si>
  <si>
    <t xml:space="preserve">Skills list, filter by type</t>
  </si>
  <si>
    <t xml:space="preserve">SK-CREATE-01</t>
  </si>
  <si>
    <t xml:space="preserve">skills-create</t>
  </si>
  <si>
    <t xml:space="preserve">Create skill, link to activity</t>
  </si>
  <si>
    <t xml:space="preserve">SK-VIEW-01</t>
  </si>
  <si>
    <t xml:space="preserve">skills-view</t>
  </si>
  <si>
    <t xml:space="preserve">Skill detail with guidance content</t>
  </si>
  <si>
    <t xml:space="preserve">v2: Reuses view pattern → XS</t>
  </si>
  <si>
    <t xml:space="preserve">SK-EDIT-01</t>
  </si>
  <si>
    <t xml:space="preserve">skills-edit</t>
  </si>
  <si>
    <t xml:space="preserve">Edit skill content</t>
  </si>
  <si>
    <t xml:space="preserve">SK-DELETE-01</t>
  </si>
  <si>
    <t xml:space="preserve">skills-delete</t>
  </si>
  <si>
    <t xml:space="preserve">Delete skill confirmation</t>
  </si>
  <si>
    <t xml:space="preserve">SK-LINK-01</t>
  </si>
  <si>
    <t xml:space="preserve">skills-link</t>
  </si>
  <si>
    <t xml:space="preserve">Link/unlink skill ↔ activity M2M</t>
  </si>
  <si>
    <t xml:space="preserve">v2: M2M linking is semi-novel (first explicit link/unlink flow) → S</t>
  </si>
  <si>
    <t xml:space="preserve">PIP-CREATE-01</t>
  </si>
  <si>
    <t xml:space="preserve">pips-create</t>
  </si>
  <si>
    <t xml:space="preserve">Act 9</t>
  </si>
  <si>
    <t xml:space="preserve">Create PIP from activity/workflow context</t>
  </si>
  <si>
    <t xml:space="preserve">v2: Small contextual form, reuses pattern → XS</t>
  </si>
  <si>
    <t xml:space="preserve">PIP-MANAGE-01</t>
  </si>
  <si>
    <t xml:space="preserve">pips-manage</t>
  </si>
  <si>
    <t xml:space="preserve">Review, approve, reject PIPs; PIP list</t>
  </si>
  <si>
    <t xml:space="preserve">v2: Status state machine is semi-novel → S</t>
  </si>
  <si>
    <t xml:space="preserve">IE-01</t>
  </si>
  <si>
    <t xml:space="preserve">import-export</t>
  </si>
  <si>
    <t xml:space="preserve">Act 10</t>
  </si>
  <si>
    <t xml:space="preserve">Upload/validate/import playbook package</t>
  </si>
  <si>
    <t xml:space="preserve">v2: File handling + validation + import logic — novel enough for M</t>
  </si>
  <si>
    <t xml:space="preserve">FAM-01</t>
  </si>
  <si>
    <t xml:space="preserve">family-management</t>
  </si>
  <si>
    <t xml:space="preserve">Act 11</t>
  </si>
  <si>
    <t xml:space="preserve">Family access control, member management</t>
  </si>
  <si>
    <t xml:space="preserve">v2: First access-control feature — M (novel permissions model)</t>
  </si>
  <si>
    <t xml:space="preserve">SYNC-01</t>
  </si>
  <si>
    <t xml:space="preserve">sync-scenarios</t>
  </si>
  <si>
    <t xml:space="preserve">Act 12</t>
  </si>
  <si>
    <t xml:space="preserve">Download/sync from HOMEBASE, conflict handling</t>
  </si>
  <si>
    <t xml:space="preserve">v2: Network protocol + conflict resolution — genuinely complex → L (kept from v1)</t>
  </si>
  <si>
    <t xml:space="preserve">MCP-BASE-01</t>
  </si>
  <si>
    <t xml:space="preserve">mcp-integration</t>
  </si>
  <si>
    <t xml:space="preserve">Act 13</t>
  </si>
  <si>
    <t xml:space="preserve">MCP server setup, auth token, @tools listing</t>
  </si>
  <si>
    <t xml:space="preserve">v2: First MCP server — novel integration setup → M</t>
  </si>
  <si>
    <t xml:space="preserve">MCP-PB-01</t>
  </si>
  <si>
    <t xml:space="preserve">mcp-playbooks</t>
  </si>
  <si>
    <t xml:space="preserve">MCP CRUD for playbooks (5 tools)</t>
  </si>
  <si>
    <t xml:space="preserve">v2: First MCP tool set — novel protocol bridge → M (was L; reuses existing service layer)</t>
  </si>
  <si>
    <t xml:space="preserve">MCP-WF-01</t>
  </si>
  <si>
    <t xml:space="preserve">mcp-workflows</t>
  </si>
  <si>
    <t xml:space="preserve">MCP CRUD for workflows (5 tools)</t>
  </si>
  <si>
    <t xml:space="preserve">v2: Reuses MCP handler pattern from PB → v2: 2nd MCP entity = S</t>
  </si>
  <si>
    <t xml:space="preserve">MCP-ACT-01</t>
  </si>
  <si>
    <t xml:space="preserve">mcp-activities</t>
  </si>
  <si>
    <t xml:space="preserve">MCP CRUD for activities (6 tools + deps)</t>
  </si>
  <si>
    <t xml:space="preserve">v2: Reuses MCP pattern; deps add minor complexity → S</t>
  </si>
  <si>
    <t xml:space="preserve">MCP-AG-01</t>
  </si>
  <si>
    <t xml:space="preserve">mcp-agents</t>
  </si>
  <si>
    <t xml:space="preserve">MCP CRUD for agents (5 tools)</t>
  </si>
  <si>
    <t xml:space="preserve">v2: Simple entity, full pattern reuse → XS</t>
  </si>
  <si>
    <t xml:space="preserve">MCP-SK-01</t>
  </si>
  <si>
    <t xml:space="preserve">mcp-skills</t>
  </si>
  <si>
    <t xml:space="preserve">MCP CRUD+link for skills (6 tools)</t>
  </si>
  <si>
    <t xml:space="preserve">v2: Reuses MCP pattern; link tool adds minor work → S</t>
  </si>
  <si>
    <t xml:space="preserve">SET-01</t>
  </si>
  <si>
    <t xml:space="preserve">settings</t>
  </si>
  <si>
    <t xml:space="preserve">Act 14</t>
  </si>
  <si>
    <t xml:space="preserve">App settings: theme, token budget, API keys</t>
  </si>
  <si>
    <t xml:space="preserve">v2: Config/settings page — v2 rule: config = XS</t>
  </si>
  <si>
    <t xml:space="preserve">ERR-01</t>
  </si>
  <si>
    <t xml:space="preserve">error-recovery</t>
  </si>
  <si>
    <t xml:space="preserve">Act 15</t>
  </si>
  <si>
    <t xml:space="preserve">Global error handling, retry, offline states</t>
  </si>
  <si>
    <t xml:space="preserve">v2: Error UI patterns — S (some novel state management)</t>
  </si>
  <si>
    <t xml:space="preserve">TOTALS</t>
  </si>
  <si>
    <t xml:space="preserve">Total FP (col G) = 56.0 FP → AFP = 56.0 × 1.0 × 0.8 = 44.8 AFP → Quote = $11,200</t>
  </si>
  <si>
    <t xml:space="preserve">Environmental Complexity Factors (ECF) — INTERNAL</t>
  </si>
  <si>
    <t xml:space="preserve">INTERNAL: ECF feeds the internal combined multiplier (token budget). Never shown to client.</t>
  </si>
  <si>
    <t xml:space="preserve">#</t>
  </si>
  <si>
    <t xml:space="preserve">Factor</t>
  </si>
  <si>
    <t xml:space="preserve">Weight</t>
  </si>
  <si>
    <t xml:space="preserve">Rating (0–5)</t>
  </si>
  <si>
    <t xml:space="preserve">Weighted</t>
  </si>
  <si>
    <t xml:space="preserve">E1</t>
  </si>
  <si>
    <t xml:space="preserve">Familiarity with AI model/tooling</t>
  </si>
  <si>
    <t xml:space="preserve">Experienced with Claude Sonnet via mature BPE workflow</t>
  </si>
  <si>
    <t xml:space="preserve">E2</t>
  </si>
  <si>
    <t xml:space="preserve">Part-time participation / context switching</t>
  </si>
  <si>
    <t xml:space="preserve">Solo dev — occasional interruptions</t>
  </si>
  <si>
    <t xml:space="preserve">E3</t>
  </si>
  <si>
    <t xml:space="preserve">Analyst / prompt engineering experience</t>
  </si>
  <si>
    <t xml:space="preserve">BPE prompts are mature and proven</t>
  </si>
  <si>
    <t xml:space="preserve">E4</t>
  </si>
  <si>
    <t xml:space="preserve">Lead developer application experience</t>
  </si>
  <si>
    <t xml:space="preserve">Denis knows Django well</t>
  </si>
  <si>
    <t xml:space="preserve">E5</t>
  </si>
  <si>
    <t xml:space="preserve">Motivation of team</t>
  </si>
  <si>
    <t xml:space="preserve">Personal project — very high motivation</t>
  </si>
  <si>
    <t xml:space="preserve">E6</t>
  </si>
  <si>
    <t xml:space="preserve">Stability of requirements</t>
  </si>
  <si>
    <t xml:space="preserve">BDD scenarios fully written, SAO.md complete</t>
  </si>
  <si>
    <t xml:space="preserve">E7</t>
  </si>
  <si>
    <t xml:space="preserve">Part-time users / product owners</t>
  </si>
  <si>
    <t xml:space="preserve">Denis IS the product owner, available full-time</t>
  </si>
  <si>
    <t xml:space="preserve">E8</t>
  </si>
  <si>
    <t xml:space="preserve">Difficulty of stack / language</t>
  </si>
  <si>
    <t xml:space="preserve">Django+HTMX+SQLite — well-known, low friction stack</t>
  </si>
  <si>
    <t xml:space="preserve">AI-Specific Extension Factors</t>
  </si>
  <si>
    <t xml:space="preserve">A1</t>
  </si>
  <si>
    <t xml:space="preserve">AI model tier (Opus=5, Sonnet=3, Haiku=1)</t>
  </si>
  <si>
    <t xml:space="preserve">Claude Sonnet = Tier 3</t>
  </si>
  <si>
    <t xml:space="preserve">A2</t>
  </si>
  <si>
    <t xml:space="preserve">Prompt maturity (mature=5, first use=1)</t>
  </si>
  <si>
    <t xml:space="preserve">BPE prompts mature and proven across prior projects</t>
  </si>
  <si>
    <t xml:space="preserve">A3</t>
  </si>
  <si>
    <t xml:space="preserve">Hallucination risk (low risk=5, high risk=1)</t>
  </si>
  <si>
    <t xml:space="preserve">Django domain well-known to model (low hallucination risk)</t>
  </si>
  <si>
    <t xml:space="preserve">A4</t>
  </si>
  <si>
    <t xml:space="preserve">Context window pressure (large ctx=5, small=1)</t>
  </si>
  <si>
    <t xml:space="preserve">Context pressure moderate — feature files fit in window</t>
  </si>
  <si>
    <t xml:space="preserve">A5</t>
  </si>
  <si>
    <t xml:space="preserve">AI code rework rate (41% baseline = rating 3)</t>
  </si>
  <si>
    <t xml:space="preserve">41% churn baseline — no specific mitigation yet</t>
  </si>
  <si>
    <t xml:space="preserve">ECF Base</t>
  </si>
  <si>
    <t xml:space="preserve">AI Adjustment</t>
  </si>
  <si>
    <t xml:space="preserve">ECF Final = Base × AI Adj</t>
  </si>
  <si>
    <t xml:space="preserve">→ ECF Final × TCF Final = Combined Multiplier → paste into '1-Setup'!B10</t>
  </si>
  <si>
    <t xml:space="preserve">Technical Complexity Factors (TCF) — INTERNAL</t>
  </si>
  <si>
    <t xml:space="preserve">INTERNAL: TCF feeds the combined multiplier. Client-facing complexity is captured by Stack Factor (Tab 0).</t>
  </si>
  <si>
    <t xml:space="preserve">T1</t>
  </si>
  <si>
    <t xml:space="preserve">Distributed system / microservices</t>
  </si>
  <si>
    <t xml:space="preserve">Monolith — Django+SQLite, not distributed</t>
  </si>
  <si>
    <t xml:space="preserve">T2</t>
  </si>
  <si>
    <t xml:space="preserve">Response time / performance requirements</t>
  </si>
  <si>
    <t xml:space="preserve">Standard web response times, no SLA</t>
  </si>
  <si>
    <t xml:space="preserve">T3</t>
  </si>
  <si>
    <t xml:space="preserve">End-user efficiency (optimized UX)</t>
  </si>
  <si>
    <t xml:space="preserve">Developer tool — UX important but not novice-targeted</t>
  </si>
  <si>
    <t xml:space="preserve">T4</t>
  </si>
  <si>
    <t xml:space="preserve">Complex internal processing / algorithms</t>
  </si>
  <si>
    <t xml:space="preserve">Mostly CRUD with some graph logic (Graphviz)</t>
  </si>
  <si>
    <t xml:space="preserve">T5</t>
  </si>
  <si>
    <t xml:space="preserve">Code reusability requirement</t>
  </si>
  <si>
    <t xml:space="preserve">DRY/reusability is a first-class design goal (services, repos)</t>
  </si>
  <si>
    <t xml:space="preserve">T6</t>
  </si>
  <si>
    <t xml:space="preserve">Easy to install / deploy</t>
  </si>
  <si>
    <t xml:space="preserve">Docker container — reasonable install</t>
  </si>
  <si>
    <t xml:space="preserve">T7</t>
  </si>
  <si>
    <t xml:space="preserve">Easy to use (usability target)</t>
  </si>
  <si>
    <t xml:space="preserve">Developer tool — usability matters for productivity</t>
  </si>
  <si>
    <t xml:space="preserve">T8</t>
  </si>
  <si>
    <t xml:space="preserve">Portability across platforms</t>
  </si>
  <si>
    <t xml:space="preserve">Docker container + local venv — macOS/Linux only</t>
  </si>
  <si>
    <t xml:space="preserve">T9</t>
  </si>
  <si>
    <t xml:space="preserve">Maintainability / easy to change</t>
  </si>
  <si>
    <t xml:space="preserve">Maintainability is top priority — methodology evolves sprint to sprint</t>
  </si>
  <si>
    <t xml:space="preserve">T10</t>
  </si>
  <si>
    <t xml:space="preserve">Concurrent use / multi-user</t>
  </si>
  <si>
    <t xml:space="preserve">Single-user desktop application</t>
  </si>
  <si>
    <t xml:space="preserve">T11</t>
  </si>
  <si>
    <t xml:space="preserve">Security features</t>
  </si>
  <si>
    <t xml:space="preserve">Local app — no sensitive data, no external auth</t>
  </si>
  <si>
    <t xml:space="preserve">T12</t>
  </si>
  <si>
    <t xml:space="preserve">Third-party API / direct access</t>
  </si>
  <si>
    <t xml:space="preserve">MCP protocol integration (Act 13)</t>
  </si>
  <si>
    <t xml:space="preserve">T13</t>
  </si>
  <si>
    <t xml:space="preserve">Special user training required</t>
  </si>
  <si>
    <t xml:space="preserve">Developer tool — minimal onboarding required</t>
  </si>
  <si>
    <t xml:space="preserve">TCF Final</t>
  </si>
  <si>
    <t xml:space="preserve">ECF Final (from ECF tab)</t>
  </si>
  <si>
    <t xml:space="preserve">Combined Multiplier (ECF × TCF)</t>
  </si>
  <si>
    <t xml:space="preserve">→ Copy Combined Multiplier to '1-Setup'!B10</t>
  </si>
  <si>
    <t xml:space="preserve">Rough Estimates — Token Budget (internal) &amp; AFP Preview (client)</t>
  </si>
  <si>
    <t xml:space="preserve">Scenarios</t>
  </si>
  <si>
    <t xml:space="preserve">SP Total</t>
  </si>
  <si>
    <t xml:space="preserve">FP Total</t>
  </si>
  <si>
    <t xml:space="preserve">Tokens Min (K)</t>
  </si>
  <si>
    <t xml:space="preserve">Tokens Exp (K)</t>
  </si>
  <si>
    <t xml:space="preserve">Tokens Max (K)</t>
  </si>
  <si>
    <t xml:space="preserve">Duration Min (d)</t>
  </si>
  <si>
    <t xml:space="preserve">Duration Exp (d)</t>
  </si>
  <si>
    <t xml:space="preserve">Duration Max (d)</t>
  </si>
  <si>
    <t xml:space="preserve">AFP Preview</t>
  </si>
  <si>
    <t xml:space="preserve">AFP $ Preview</t>
  </si>
  <si>
    <t xml:space="preserve">Phase</t>
  </si>
  <si>
    <t xml:space="preserve">Calibration</t>
  </si>
  <si>
    <t xml:space="preserve">Architecture Complete</t>
  </si>
  <si>
    <t xml:space="preserve">Act 0, Act 2</t>
  </si>
  <si>
    <t xml:space="preserve">Act 2, Act 3</t>
  </si>
  <si>
    <t xml:space="preserve">Act 3, Act 4</t>
  </si>
  <si>
    <t xml:space="preserve">Act 5, Act 6</t>
  </si>
  <si>
    <t xml:space="preserve">Act 6, Act 7, Act 8</t>
  </si>
  <si>
    <t xml:space="preserve">Act 10, Act 8, Act 9</t>
  </si>
  <si>
    <t xml:space="preserve">Act 11, Act 12, Act 13</t>
  </si>
  <si>
    <t xml:space="preserve">Act 13, Act 14, Act 15</t>
  </si>
  <si>
    <t xml:space="preserve">Monte Carlo Simulation — P50 / P80 / P95 Forecasts</t>
  </si>
  <si>
    <t xml:space="preserve">SIMULATION PARAMETERS</t>
  </si>
  <si>
    <t xml:space="preserve">Iterations</t>
  </si>
  <si>
    <t xml:space="preserve">Scenarios (from Scenario List)</t>
  </si>
  <si>
    <t xml:space="preserve">Distribution Type</t>
  </si>
  <si>
    <t xml:space="preserve">Triangular</t>
  </si>
  <si>
    <t xml:space="preserve">Sprint Dependency</t>
  </si>
  <si>
    <t xml:space="preserve">Sequential (sprint-by-sprint)</t>
  </si>
  <si>
    <t xml:space="preserve">Daily Throughput (K tokens)</t>
  </si>
  <si>
    <t xml:space="preserve">Combined Multiplier (internal)</t>
  </si>
  <si>
    <t xml:space="preserve">Stack Factor (client)</t>
  </si>
  <si>
    <t xml:space="preserve">Org Factor (client)</t>
  </si>
  <si>
    <t xml:space="preserve">SIMULATION RESULTS  (run VBA macro: Alt+F8 → RunMonteCarloSimulation)</t>
  </si>
  <si>
    <t xml:space="preserve">Probability</t>
  </si>
  <si>
    <t xml:space="preserve">Token Budget (K)</t>
  </si>
  <si>
    <t xml:space="preserve">Token Budget ($)</t>
  </si>
  <si>
    <t xml:space="preserve">AFP (client)</t>
  </si>
  <si>
    <t xml:space="preserve">Quote Total ($)</t>
  </si>
  <si>
    <t xml:space="preserve">10%</t>
  </si>
  <si>
    <t xml:space="preserve">50%</t>
  </si>
  <si>
    <t xml:space="preserve">80%</t>
  </si>
  <si>
    <t xml:space="preserve">P95 — Conservative Commitment</t>
  </si>
  <si>
    <t xml:space="preserve">95%</t>
  </si>
  <si>
    <t xml:space="preserve">EBS SIMULATION DATA — 100-percentile probability distribution (10,000 iterations · triangular dist · 56 scenarios)</t>
  </si>
  <si>
    <t xml:space="preserve">Probability (%)</t>
  </si>
  <si>
    <t xml:space="preserve">Work Breakdown Structure — BPE-01 Estimation Mode (Django + HTMX · EST-06)</t>
  </si>
  <si>
    <t xml:space="preserve">Sprint</t>
  </si>
  <si>
    <t xml:space="preserve">WP#</t>
  </si>
  <si>
    <t xml:space="preserve">Artifact</t>
  </si>
  <si>
    <t xml:space="preserve">Type</t>
  </si>
  <si>
    <t xml:space="preserve">Flag</t>
  </si>
  <si>
    <t xml:space="preserve">Reuse×</t>
  </si>
  <si>
    <t xml:space="preserve">Impl plan: login/logout/session</t>
  </si>
  <si>
    <t xml:space="preserve">Plan</t>
  </si>
  <si>
    <t xml:space="preserve">NEW</t>
  </si>
  <si>
    <t xml:space="preserve">BPE-01 est. mode · Plan · NEW</t>
  </si>
  <si>
    <t xml:space="preserve">User + Session model (accounts)</t>
  </si>
  <si>
    <t xml:space="preserve">Model</t>
  </si>
  <si>
    <t xml:space="preserve">EXTEND</t>
  </si>
  <si>
    <t xml:space="preserve">BPE-01 est. mode · Model · EXTEND</t>
  </si>
  <si>
    <t xml:space="preserve">AuthRepository</t>
  </si>
  <si>
    <t xml:space="preserve">Repo</t>
  </si>
  <si>
    <t xml:space="preserve">BPE-01 est. mode · Repo · NEW</t>
  </si>
  <si>
    <t xml:space="preserve">AuthService (login, logout, validate)</t>
  </si>
  <si>
    <t xml:space="preserve">Service</t>
  </si>
  <si>
    <t xml:space="preserve">BPE-01 est. mode · Service · NEW</t>
  </si>
  <si>
    <t xml:space="preserve">LoginView, LogoutView, SessionView + URLs</t>
  </si>
  <si>
    <t xml:space="preserve">View</t>
  </si>
  <si>
    <t xml:space="preserve">BPE-01 est. mode · View · NEW</t>
  </si>
  <si>
    <t xml:space="preserve">login.html, session_expired.html</t>
  </si>
  <si>
    <t xml:space="preserve">Template</t>
  </si>
  <si>
    <t xml:space="preserve">BPE-01 est. mode · Template · NEW</t>
  </si>
  <si>
    <t xml:space="preserve">Unit tests: auth flow + edge cases</t>
  </si>
  <si>
    <t xml:space="preserve">Tests</t>
  </si>
  <si>
    <t xml:space="preserve">BPE-01 est. mode · Tests · NEW</t>
  </si>
  <si>
    <t xml:space="preserve">Feature acceptance: auth scenarios</t>
  </si>
  <si>
    <t xml:space="preserve">FAT</t>
  </si>
  <si>
    <t xml:space="preserve">BPE-01 est. mode · FAT · NEW</t>
  </si>
  <si>
    <t xml:space="preserve">DoD checklist</t>
  </si>
  <si>
    <t xml:space="preserve">DoD</t>
  </si>
  <si>
    <t xml:space="preserve">BPE-01 est. mode · DoD · NEW</t>
  </si>
  <si>
    <t xml:space="preserve">E2E: login/logout Playwright</t>
  </si>
  <si>
    <t xml:space="preserve">E2E</t>
  </si>
  <si>
    <t xml:space="preserve">BPE-01 est. mode · E2E · NEW</t>
  </si>
  <si>
    <t xml:space="preserve">L1=39K  L2=126K  Δ=+223%  ⚠ &gt;30%</t>
  </si>
  <si>
    <t xml:space="preserve">Impl plan: nav + breadcrumbs</t>
  </si>
  <si>
    <t xml:space="preserve">base.html nav partial + HTMX</t>
  </si>
  <si>
    <t xml:space="preserve">Partial</t>
  </si>
  <si>
    <t xml:space="preserve">BPE-01 est. mode · Partial · NEW</t>
  </si>
  <si>
    <t xml:space="preserve">breadcrumb.html, global_search partial</t>
  </si>
  <si>
    <t xml:space="preserve">Template render tests</t>
  </si>
  <si>
    <t xml:space="preserve">Feature acceptance: nav scenarios</t>
  </si>
  <si>
    <t xml:space="preserve">L1=10K  L2=73K  Δ=+630%  ⚠ &gt;30%</t>
  </si>
  <si>
    <t xml:space="preserve">Impl plan: first-run wizard</t>
  </si>
  <si>
    <t xml:space="preserve">OnboardingState model</t>
  </si>
  <si>
    <t xml:space="preserve">BPE-01 est. mode · Model · NEW</t>
  </si>
  <si>
    <t xml:space="preserve">OnboardingService (wizard steps)</t>
  </si>
  <si>
    <t xml:space="preserve">OnboardingWizardView + URLs</t>
  </si>
  <si>
    <t xml:space="preserve">onboarding_step_1.html … step_N.html</t>
  </si>
  <si>
    <t xml:space="preserve">Unit tests: wizard state machine</t>
  </si>
  <si>
    <t xml:space="preserve">Feature acceptance: onboarding</t>
  </si>
  <si>
    <t xml:space="preserve">E2E: first-run setup Playwright</t>
  </si>
  <si>
    <t xml:space="preserve">L1=39K  L2=122K  Δ=+213%  ⚠ &gt;30%</t>
  </si>
  <si>
    <t xml:space="preserve">Impl plan: playbooks list + search</t>
  </si>
  <si>
    <t xml:space="preserve">Playbook model (exists)</t>
  </si>
  <si>
    <t xml:space="preserve">REUSE</t>
  </si>
  <si>
    <t xml:space="preserve">BPE-01 est. mode · Model · REUSE</t>
  </si>
  <si>
    <t xml:space="preserve">PlaybookRepo.list(), search(), filter()</t>
  </si>
  <si>
    <t xml:space="preserve">BPE-01 est. mode · Repo · EXTEND</t>
  </si>
  <si>
    <t xml:space="preserve">PlaybookService.list_for_user()</t>
  </si>
  <si>
    <t xml:space="preserve">BPE-01 est. mode · Service · EXTEND</t>
  </si>
  <si>
    <t xml:space="preserve">PlaybookListView + search/filter HTMX</t>
  </si>
  <si>
    <t xml:space="preserve">playbook_list.html</t>
  </si>
  <si>
    <t xml:space="preserve">playbook_row.html, filter_form.html</t>
  </si>
  <si>
    <t xml:space="preserve">Unit: list, search, filter, paginate</t>
  </si>
  <si>
    <t xml:space="preserve">Feature acceptance: list scenarios</t>
  </si>
  <si>
    <t xml:space="preserve">E2E: playbooks list Playwright</t>
  </si>
  <si>
    <t xml:space="preserve">L1=174K  L2=118K  Δ=-32%  ⚠ &gt;30%</t>
  </si>
  <si>
    <t xml:space="preserve">Impl plan (review existing)</t>
  </si>
  <si>
    <t xml:space="preserve">BPE-01 est. mode · Plan · REUSE</t>
  </si>
  <si>
    <t xml:space="preserve">Playbook model (done)</t>
  </si>
  <si>
    <t xml:space="preserve">PlaybookRepo.create() (done)</t>
  </si>
  <si>
    <t xml:space="preserve">BPE-01 est. mode · Repo · REUSE</t>
  </si>
  <si>
    <t xml:space="preserve">PlaybookService.create() (done)</t>
  </si>
  <si>
    <t xml:space="preserve">BPE-01 est. mode · Service · REUSE</t>
  </si>
  <si>
    <t xml:space="preserve">PlaybookCreateView wizard (done)</t>
  </si>
  <si>
    <t xml:space="preserve">BPE-01 est. mode · View · REUSE</t>
  </si>
  <si>
    <t xml:space="preserve">playbook_create_step_*.html (done)</t>
  </si>
  <si>
    <t xml:space="preserve">BPE-01 est. mode · Template · REUSE</t>
  </si>
  <si>
    <t xml:space="preserve">25/25 tests passing (done)</t>
  </si>
  <si>
    <t xml:space="preserve">BPE-01 est. mode · Tests · REUSE</t>
  </si>
  <si>
    <t xml:space="preserve">Feature acceptance (done)</t>
  </si>
  <si>
    <t xml:space="preserve">BPE-01 est. mode · FAT · REUSE</t>
  </si>
  <si>
    <t xml:space="preserve">DoD checklist (done)</t>
  </si>
  <si>
    <t xml:space="preserve">BPE-01 est. mode · DoD · REUSE</t>
  </si>
  <si>
    <t xml:space="preserve">E2E Playwright (done)</t>
  </si>
  <si>
    <t xml:space="preserve">BPE-01 est. mode · E2E · REUSE</t>
  </si>
  <si>
    <t xml:space="preserve">L1=174K  L2=40K  Δ=-77%  ⚠ &gt;30%</t>
  </si>
  <si>
    <t xml:space="preserve">Impl plan: playbook detail view</t>
  </si>
  <si>
    <t xml:space="preserve">PlaybookRepo.get_by_id()</t>
  </si>
  <si>
    <t xml:space="preserve">PlaybookService.get_detail()</t>
  </si>
  <si>
    <t xml:space="preserve">PlaybookDetailView + URL</t>
  </si>
  <si>
    <t xml:space="preserve">BPE-01 est. mode · View · EXTEND</t>
  </si>
  <si>
    <t xml:space="preserve">playbook_detail.html</t>
  </si>
  <si>
    <t xml:space="preserve">Unit: detail view, 404 handling</t>
  </si>
  <si>
    <t xml:space="preserve">Feature acceptance: view scenarios</t>
  </si>
  <si>
    <t xml:space="preserve">E2E: playbook detail Playwright</t>
  </si>
  <si>
    <t xml:space="preserve">L1=174K  L2=106K  Δ=-39%  ⚠ &gt;30%</t>
  </si>
  <si>
    <t xml:space="preserve">Impl plan: playbook edit form</t>
  </si>
  <si>
    <t xml:space="preserve">PlaybookRepo.update() (extend create)</t>
  </si>
  <si>
    <t xml:space="preserve">PlaybookService.update()</t>
  </si>
  <si>
    <t xml:space="preserve">PlaybookEditView + URL</t>
  </si>
  <si>
    <t xml:space="preserve">playbook_edit.html (reuse create form)</t>
  </si>
  <si>
    <t xml:space="preserve">BPE-01 est. mode · Template · EXTEND</t>
  </si>
  <si>
    <t xml:space="preserve">Unit: edit validation, partial save</t>
  </si>
  <si>
    <t xml:space="preserve">Feature acceptance: edit scenarios</t>
  </si>
  <si>
    <t xml:space="preserve">E2E: edit playbook Playwright</t>
  </si>
  <si>
    <t xml:space="preserve">L1=39K  L2=99K  Δ=+154%  ⚠ &gt;30%</t>
  </si>
  <si>
    <t xml:space="preserve">Impl plan: playbook delete modal</t>
  </si>
  <si>
    <t xml:space="preserve">PlaybookRepo.delete()</t>
  </si>
  <si>
    <t xml:space="preserve">PlaybookService.delete() + cascade</t>
  </si>
  <si>
    <t xml:space="preserve">PlaybookDeleteView + confirm modal</t>
  </si>
  <si>
    <t xml:space="preserve">delete_confirm_modal.html</t>
  </si>
  <si>
    <t xml:space="preserve">Unit: delete + cascade cleanup</t>
  </si>
  <si>
    <t xml:space="preserve">Feature acceptance: delete scenarios</t>
  </si>
  <si>
    <t xml:space="preserve">L1=39K  L2=87K  Δ=+123%  ⚠ &gt;30%</t>
  </si>
  <si>
    <t xml:space="preserve">Impl plan: playbook versioning</t>
  </si>
  <si>
    <t xml:space="preserve">PlaybookVersion model (exists)</t>
  </si>
  <si>
    <t xml:space="preserve">VersionRepo.create(), list(), diff()</t>
  </si>
  <si>
    <t xml:space="preserve">VersioningService (branch, tag, restore)</t>
  </si>
  <si>
    <t xml:space="preserve">VersionListView, VersionDiffView</t>
  </si>
  <si>
    <t xml:space="preserve">version_list.html, version_diff.html</t>
  </si>
  <si>
    <t xml:space="preserve">Unit: version create, restore, diff</t>
  </si>
  <si>
    <t xml:space="preserve">Feature acceptance: versioning</t>
  </si>
  <si>
    <t xml:space="preserve">E2E: versioning workflow Playwright</t>
  </si>
  <si>
    <t xml:space="preserve">L1=174K  L2=122K  Δ=-30%  ⚠ &gt;30%</t>
  </si>
  <si>
    <t xml:space="preserve">Impl plan: workflows list</t>
  </si>
  <si>
    <t xml:space="preserve">Workflow model (exists)</t>
  </si>
  <si>
    <t xml:space="preserve">WorkflowRepo.list_for_playbook()</t>
  </si>
  <si>
    <t xml:space="preserve">WorkflowService.list()</t>
  </si>
  <si>
    <t xml:space="preserve">WorkflowListView + URL</t>
  </si>
  <si>
    <t xml:space="preserve">workflow_list.html</t>
  </si>
  <si>
    <t xml:space="preserve">Unit: list view with playbook context</t>
  </si>
  <si>
    <t xml:space="preserve">L1=39K  L2=94K  Δ=+140%  ⚠ &gt;30%</t>
  </si>
  <si>
    <t xml:space="preserve">Impl plan: workflow create</t>
  </si>
  <si>
    <t xml:space="preserve">WorkflowRepo.create()</t>
  </si>
  <si>
    <t xml:space="preserve">WorkflowService.create()</t>
  </si>
  <si>
    <t xml:space="preserve">WorkflowCreateView + URL</t>
  </si>
  <si>
    <t xml:space="preserve">workflow_create.html</t>
  </si>
  <si>
    <t xml:space="preserve">Unit: create + validation</t>
  </si>
  <si>
    <t xml:space="preserve">Feature acceptance: create scenarios</t>
  </si>
  <si>
    <t xml:space="preserve">Impl plan: workflow detail</t>
  </si>
  <si>
    <t xml:space="preserve">WorkflowRepo.get_with_activities()</t>
  </si>
  <si>
    <t xml:space="preserve">WorkflowService.get_detail()</t>
  </si>
  <si>
    <t xml:space="preserve">WorkflowDetailView + URL</t>
  </si>
  <si>
    <t xml:space="preserve">workflow_detail.html</t>
  </si>
  <si>
    <t xml:space="preserve">Unit: detail + nested activities</t>
  </si>
  <si>
    <t xml:space="preserve">L1=174K  L2=94K  Δ=-46%  ⚠ &gt;30%</t>
  </si>
  <si>
    <t xml:space="preserve">Impl plan: workflow edit</t>
  </si>
  <si>
    <t xml:space="preserve">WorkflowRepo.update()</t>
  </si>
  <si>
    <t xml:space="preserve">WorkflowService.update()</t>
  </si>
  <si>
    <t xml:space="preserve">WorkflowEditView (extend create)</t>
  </si>
  <si>
    <t xml:space="preserve">workflow_edit.html (reuse create)</t>
  </si>
  <si>
    <t xml:space="preserve">Unit: edit validation</t>
  </si>
  <si>
    <t xml:space="preserve">L1=10K  L2=84K  Δ=+741%  ⚠ &gt;30%</t>
  </si>
  <si>
    <t xml:space="preserve">Impl plan: workflow delete</t>
  </si>
  <si>
    <t xml:space="preserve">WorkflowRepo.delete()</t>
  </si>
  <si>
    <t xml:space="preserve">WorkflowService.delete() + cascade</t>
  </si>
  <si>
    <t xml:space="preserve">WorkflowDeleteView (reuse PB modal)</t>
  </si>
  <si>
    <t xml:space="preserve">delete_confirm_modal (reuse PB)</t>
  </si>
  <si>
    <t xml:space="preserve">Unit: delete cascade to activities</t>
  </si>
  <si>
    <t xml:space="preserve">L1=10K  L2=76K  Δ=+657%  ⚠ &gt;30%</t>
  </si>
  <si>
    <t xml:space="preserve">Impl plan: workflow export/import</t>
  </si>
  <si>
    <t xml:space="preserve">Workflow + related models (exist)</t>
  </si>
  <si>
    <t xml:space="preserve">WorkflowExportService (JSON serialise)</t>
  </si>
  <si>
    <t xml:space="preserve">WorkflowImportService (validate + save)</t>
  </si>
  <si>
    <t xml:space="preserve">ExportView, ImportView + URLs</t>
  </si>
  <si>
    <t xml:space="preserve">export_modal.html, import_modal.html</t>
  </si>
  <si>
    <t xml:space="preserve">Unit: export round-trip, import errors</t>
  </si>
  <si>
    <t xml:space="preserve">Feature acceptance: export/import</t>
  </si>
  <si>
    <t xml:space="preserve">E2E: download + re-import Playwright</t>
  </si>
  <si>
    <t xml:space="preserve">L1=174K  L2=130K  Δ=-26%</t>
  </si>
  <si>
    <t xml:space="preserve">Impl plan: phases list</t>
  </si>
  <si>
    <t xml:space="preserve">Phase model (exists via WF)</t>
  </si>
  <si>
    <t xml:space="preserve">PhaseRepo.list_for_workflow()</t>
  </si>
  <si>
    <t xml:space="preserve">PhaseService.list()</t>
  </si>
  <si>
    <t xml:space="preserve">PhaseListView + URL</t>
  </si>
  <si>
    <t xml:space="preserve">phase_list.html</t>
  </si>
  <si>
    <t xml:space="preserve">Unit: list phases in workflow ctx</t>
  </si>
  <si>
    <t xml:space="preserve">Feature acceptance: list</t>
  </si>
  <si>
    <t xml:space="preserve">L1=10K  L2=103K  Δ=+931%  ⚠ &gt;30%</t>
  </si>
  <si>
    <t xml:space="preserve">Impl plan: phase create</t>
  </si>
  <si>
    <t xml:space="preserve">Phase model (exists)</t>
  </si>
  <si>
    <t xml:space="preserve">PhaseRepo.create()</t>
  </si>
  <si>
    <t xml:space="preserve">PhaseService.create()</t>
  </si>
  <si>
    <t xml:space="preserve">PhaseCreateView + URL</t>
  </si>
  <si>
    <t xml:space="preserve">phase_create.html</t>
  </si>
  <si>
    <t xml:space="preserve">Unit: create + order</t>
  </si>
  <si>
    <t xml:space="preserve">Feature acceptance: create</t>
  </si>
  <si>
    <t xml:space="preserve">Impl plan: phase detail</t>
  </si>
  <si>
    <t xml:space="preserve">PhaseRepo.get_with_activities()</t>
  </si>
  <si>
    <t xml:space="preserve">PhaseService.get_detail()</t>
  </si>
  <si>
    <t xml:space="preserve">PhaseDetailView + URL</t>
  </si>
  <si>
    <t xml:space="preserve">phase_detail.html</t>
  </si>
  <si>
    <t xml:space="preserve">Unit: detail view</t>
  </si>
  <si>
    <t xml:space="preserve">Feature acceptance: view</t>
  </si>
  <si>
    <t xml:space="preserve">Impl plan: phase edit</t>
  </si>
  <si>
    <t xml:space="preserve">PhaseRepo.update()</t>
  </si>
  <si>
    <t xml:space="preserve">PhaseService.update()</t>
  </si>
  <si>
    <t xml:space="preserve">PhaseEditView (extend create)</t>
  </si>
  <si>
    <t xml:space="preserve">phase_edit.html</t>
  </si>
  <si>
    <t xml:space="preserve">Feature acceptance: edit</t>
  </si>
  <si>
    <t xml:space="preserve">L1=10K  L2=99K  Δ=+886%  ⚠ &gt;30%</t>
  </si>
  <si>
    <t xml:space="preserve">Impl plan: phase delete</t>
  </si>
  <si>
    <t xml:space="preserve">PhaseRepo.delete()</t>
  </si>
  <si>
    <t xml:space="preserve">PhaseService.delete() + reorder</t>
  </si>
  <si>
    <t xml:space="preserve">PhaseDeleteView (reuse modal)</t>
  </si>
  <si>
    <t xml:space="preserve">delete_confirm_modal (reuse)</t>
  </si>
  <si>
    <t xml:space="preserve">Unit: delete + reorder</t>
  </si>
  <si>
    <t xml:space="preserve">Feature acceptance: delete</t>
  </si>
  <si>
    <t xml:space="preserve">L1=10K  L2=85K  Δ=+754%  ⚠ &gt;30%</t>
  </si>
  <si>
    <t xml:space="preserve">Impl plan: activities list</t>
  </si>
  <si>
    <t xml:space="preserve">Activity model (exists)</t>
  </si>
  <si>
    <t xml:space="preserve">ActivityRepo.list_for_phase()</t>
  </si>
  <si>
    <t xml:space="preserve">ActivityService.list()</t>
  </si>
  <si>
    <t xml:space="preserve">ActivityListView + URL</t>
  </si>
  <si>
    <t xml:space="preserve">activity_list.html</t>
  </si>
  <si>
    <t xml:space="preserve">activity_row.html HTMX partial</t>
  </si>
  <si>
    <t xml:space="preserve">Unit: list, search, filter</t>
  </si>
  <si>
    <t xml:space="preserve">L1=174K  L2=102K  Δ=-42%  ⚠ &gt;30%</t>
  </si>
  <si>
    <t xml:space="preserve">Impl plan: activity create</t>
  </si>
  <si>
    <t xml:space="preserve">ActivityRepo.create()</t>
  </si>
  <si>
    <t xml:space="preserve">ActivityService.create()</t>
  </si>
  <si>
    <t xml:space="preserve">ActivityCreateView + URL</t>
  </si>
  <si>
    <t xml:space="preserve">activity_create.html</t>
  </si>
  <si>
    <t xml:space="preserve">Unit: create + required fields</t>
  </si>
  <si>
    <t xml:space="preserve">L1=39K  L2=83K  Δ=+112%  ⚠ &gt;30%</t>
  </si>
  <si>
    <t xml:space="preserve">Impl plan: activity detail</t>
  </si>
  <si>
    <t xml:space="preserve">ActivityRepo.get_with_artifacts()</t>
  </si>
  <si>
    <t xml:space="preserve">ActivityService.get_detail()</t>
  </si>
  <si>
    <t xml:space="preserve">ActivityDetailView + URL</t>
  </si>
  <si>
    <t xml:space="preserve">activity_detail.html</t>
  </si>
  <si>
    <t xml:space="preserve">Unit: detail + nested artifacts</t>
  </si>
  <si>
    <t xml:space="preserve">Impl plan: activity edit</t>
  </si>
  <si>
    <t xml:space="preserve">ActivityRepo.update()</t>
  </si>
  <si>
    <t xml:space="preserve">ActivityService.update()</t>
  </si>
  <si>
    <t xml:space="preserve">ActivityEditView (reuse create)</t>
  </si>
  <si>
    <t xml:space="preserve">activity_edit.html (reuse create)</t>
  </si>
  <si>
    <t xml:space="preserve">L1=10K  L2=66K  Δ=+558%  ⚠ &gt;30%</t>
  </si>
  <si>
    <t xml:space="preserve">Impl plan: activity delete</t>
  </si>
  <si>
    <t xml:space="preserve">ActivityRepo.delete()</t>
  </si>
  <si>
    <t xml:space="preserve">ActivityService.delete()</t>
  </si>
  <si>
    <t xml:space="preserve">ActivityDeleteView (reuse modal)</t>
  </si>
  <si>
    <t xml:space="preserve">Unit: delete</t>
  </si>
  <si>
    <t xml:space="preserve">Impl plan: artifacts list</t>
  </si>
  <si>
    <t xml:space="preserve">Artifact model (exists)</t>
  </si>
  <si>
    <t xml:space="preserve">ArtifactRepo.list_for_activity()</t>
  </si>
  <si>
    <t xml:space="preserve">ArtifactService.list()</t>
  </si>
  <si>
    <t xml:space="preserve">ArtifactListView + URL</t>
  </si>
  <si>
    <t xml:space="preserve">artifact_list.html</t>
  </si>
  <si>
    <t xml:space="preserve">Unit: list by activity</t>
  </si>
  <si>
    <t xml:space="preserve">Impl plan: artifact create</t>
  </si>
  <si>
    <t xml:space="preserve">ArtifactRepo.create()</t>
  </si>
  <si>
    <t xml:space="preserve">ArtifactService.create()</t>
  </si>
  <si>
    <t xml:space="preserve">ArtifactCreateView + URL</t>
  </si>
  <si>
    <t xml:space="preserve">artifact_create.html</t>
  </si>
  <si>
    <t xml:space="preserve">Unit: create</t>
  </si>
  <si>
    <t xml:space="preserve">Impl plan: artifact detail</t>
  </si>
  <si>
    <t xml:space="preserve">ArtifactRepo.get_with_inputs()</t>
  </si>
  <si>
    <t xml:space="preserve">ArtifactService.get_detail()</t>
  </si>
  <si>
    <t xml:space="preserve">ArtifactDetailView + URL</t>
  </si>
  <si>
    <t xml:space="preserve">artifact_detail.html</t>
  </si>
  <si>
    <t xml:space="preserve">Unit: detail + input listing</t>
  </si>
  <si>
    <t xml:space="preserve">Impl plan: artifact edit</t>
  </si>
  <si>
    <t xml:space="preserve">ArtifactRepo.update()</t>
  </si>
  <si>
    <t xml:space="preserve">ArtifactService.update()</t>
  </si>
  <si>
    <t xml:space="preserve">ArtifactEditView (reuse create)</t>
  </si>
  <si>
    <t xml:space="preserve">artifact_edit.html (reuse create)</t>
  </si>
  <si>
    <t xml:space="preserve">Unit: edit</t>
  </si>
  <si>
    <t xml:space="preserve">Impl plan: artifact delete</t>
  </si>
  <si>
    <t xml:space="preserve">ArtifactRepo.delete()</t>
  </si>
  <si>
    <t xml:space="preserve">ArtifactService.delete()</t>
  </si>
  <si>
    <t xml:space="preserve">ArtifactDeleteView (reuse modal)</t>
  </si>
  <si>
    <t xml:space="preserve">Impl plan: artifact upload/download flow</t>
  </si>
  <si>
    <t xml:space="preserve">ArtifactInput model (exists)</t>
  </si>
  <si>
    <t xml:space="preserve">ArtifactRepo.attach_file(), get_file()</t>
  </si>
  <si>
    <t xml:space="preserve">ArtifactFlowService (upload, validate)</t>
  </si>
  <si>
    <t xml:space="preserve">ArtifactUploadView, DownloadView + URLs</t>
  </si>
  <si>
    <t xml:space="preserve">artifact_upload.html + progress HTMX</t>
  </si>
  <si>
    <t xml:space="preserve">Unit: upload validate, download serving</t>
  </si>
  <si>
    <t xml:space="preserve">Feature acceptance: artifact flow</t>
  </si>
  <si>
    <t xml:space="preserve">E2E: file upload + download Playwright</t>
  </si>
  <si>
    <t xml:space="preserve">Review existing</t>
  </si>
  <si>
    <t xml:space="preserve">Agent (done)</t>
  </si>
  <si>
    <t xml:space="preserve">AgentListView (done)</t>
  </si>
  <si>
    <t xml:space="preserve">agent_list.html (done)</t>
  </si>
  <si>
    <t xml:space="preserve">Tests (done)</t>
  </si>
  <si>
    <t xml:space="preserve">DoD (done)</t>
  </si>
  <si>
    <t xml:space="preserve">L1=10K  L2=23K  Δ=+131%  ⚠ &gt;30%</t>
  </si>
  <si>
    <t xml:space="preserve">AgentRepo (done)</t>
  </si>
  <si>
    <t xml:space="preserve">AgentService (done)</t>
  </si>
  <si>
    <t xml:space="preserve">AgentCreateView (done)</t>
  </si>
  <si>
    <t xml:space="preserve">agent_create.html (done)</t>
  </si>
  <si>
    <t xml:space="preserve">L1=10K  L2=27K  Δ=+170%  ⚠ &gt;30%</t>
  </si>
  <si>
    <t xml:space="preserve">AgentDetailView (done)</t>
  </si>
  <si>
    <t xml:space="preserve">agent_detail.html (done)</t>
  </si>
  <si>
    <t xml:space="preserve">L1=10K  L2=19K  Δ=+86%  ⚠ &gt;30%</t>
  </si>
  <si>
    <t xml:space="preserve">AgentEditView (done)</t>
  </si>
  <si>
    <t xml:space="preserve">agent_edit.html (done)</t>
  </si>
  <si>
    <t xml:space="preserve">AgentDeleteView (done)</t>
  </si>
  <si>
    <t xml:space="preserve">delete_modal (done)</t>
  </si>
  <si>
    <t xml:space="preserve">Skill (done)</t>
  </si>
  <si>
    <t xml:space="preserve">SkillListView (done)</t>
  </si>
  <si>
    <t xml:space="preserve">skill_list.html (done)</t>
  </si>
  <si>
    <t xml:space="preserve">SkillRepo (done)</t>
  </si>
  <si>
    <t xml:space="preserve">SkillService (done)</t>
  </si>
  <si>
    <t xml:space="preserve">SkillCreateView (done)</t>
  </si>
  <si>
    <t xml:space="preserve">skill_create.html (done)</t>
  </si>
  <si>
    <t xml:space="preserve">SkillDetailView (done)</t>
  </si>
  <si>
    <t xml:space="preserve">skill_detail.html (done)</t>
  </si>
  <si>
    <t xml:space="preserve">SkillEditView (done)</t>
  </si>
  <si>
    <t xml:space="preserve">skill_edit.html (done)</t>
  </si>
  <si>
    <t xml:space="preserve">SkillDeleteView (done)</t>
  </si>
  <si>
    <t xml:space="preserve">SkillLinkService (done via MCP)</t>
  </si>
  <si>
    <t xml:space="preserve">LinkSkillView (done)</t>
  </si>
  <si>
    <t xml:space="preserve">link_skill.html (done)</t>
  </si>
  <si>
    <t xml:space="preserve">L1=39K  L2=24K  Δ=-38%  ⚠ &gt;30%</t>
  </si>
  <si>
    <t xml:space="preserve">Impl plan: PIP create</t>
  </si>
  <si>
    <t xml:space="preserve">PIP model (new entity)</t>
  </si>
  <si>
    <t xml:space="preserve">PIPRepo.create(), list()</t>
  </si>
  <si>
    <t xml:space="preserve">PIPService.create() + notification</t>
  </si>
  <si>
    <t xml:space="preserve">PIPCreateView + URL</t>
  </si>
  <si>
    <t xml:space="preserve">pip_create.html</t>
  </si>
  <si>
    <t xml:space="preserve">Unit: create + validate</t>
  </si>
  <si>
    <t xml:space="preserve">Feature acceptance: create PIP</t>
  </si>
  <si>
    <t xml:space="preserve">L1=10K  L2=114K  Δ=+1036%  ⚠ &gt;30%</t>
  </si>
  <si>
    <t xml:space="preserve">Impl plan: PIP review workflow</t>
  </si>
  <si>
    <t xml:space="preserve">PIPRepo.approve(), reject(), list()</t>
  </si>
  <si>
    <t xml:space="preserve">PIPService.review() + apply changes</t>
  </si>
  <si>
    <t xml:space="preserve">PIPReviewView, PIPListView + URLs</t>
  </si>
  <si>
    <t xml:space="preserve">pip_list.html, pip_review.html</t>
  </si>
  <si>
    <t xml:space="preserve">Journey: PIP create→review→apply</t>
  </si>
  <si>
    <t xml:space="preserve">Journey</t>
  </si>
  <si>
    <t xml:space="preserve">BPE-01 est. mode · Journey · NEW</t>
  </si>
  <si>
    <t xml:space="preserve">Unit: approve + reject + apply</t>
  </si>
  <si>
    <t xml:space="preserve">Feature acceptance: PIP management</t>
  </si>
  <si>
    <t xml:space="preserve">E2E: end-to-end PIP workflow</t>
  </si>
  <si>
    <t xml:space="preserve">L1=39K  L2=127K  Δ=+226%  ⚠ &gt;30%</t>
  </si>
  <si>
    <t xml:space="preserve">Impl plan: import/export</t>
  </si>
  <si>
    <t xml:space="preserve">ExportService (full playbook JSON)</t>
  </si>
  <si>
    <t xml:space="preserve">ImportService (validate + restore)</t>
  </si>
  <si>
    <t xml:space="preserve">import_export.html + progress HTMX</t>
  </si>
  <si>
    <t xml:space="preserve">Feature acceptance: import/export</t>
  </si>
  <si>
    <t xml:space="preserve">E2E: export + import Playwright</t>
  </si>
  <si>
    <t xml:space="preserve">L1=174K  L2=125K  Δ=-28%</t>
  </si>
  <si>
    <t xml:space="preserve">Impl plan: family management</t>
  </si>
  <si>
    <t xml:space="preserve">Family + Membership models (new)</t>
  </si>
  <si>
    <t xml:space="preserve">FamilyRepo (create, invite, manage)</t>
  </si>
  <si>
    <t xml:space="preserve">FamilyService (roles, access control)</t>
  </si>
  <si>
    <t xml:space="preserve">FamilyListView, InviteView, ManageView</t>
  </si>
  <si>
    <t xml:space="preserve">family_list.html, invite.html</t>
  </si>
  <si>
    <t xml:space="preserve">Unit: family CRUD + permissions</t>
  </si>
  <si>
    <t xml:space="preserve">Feature acceptance: family scenarios</t>
  </si>
  <si>
    <t xml:space="preserve">E2E: family invite + accept Playwright</t>
  </si>
  <si>
    <t xml:space="preserve">L1=174K  L2=132K  Δ=-24%</t>
  </si>
  <si>
    <t xml:space="preserve">Impl plan: sync engine</t>
  </si>
  <si>
    <t xml:space="preserve">SyncState, SyncLog models (new)</t>
  </si>
  <si>
    <t xml:space="preserve">SyncRepo (state, conflict, history)</t>
  </si>
  <si>
    <t xml:space="preserve">SyncEngine (pull, push, diff)</t>
  </si>
  <si>
    <t xml:space="preserve">ConflictResolver (3-way merge)</t>
  </si>
  <si>
    <t xml:space="preserve">SyncDashboardView, ConflictResolveView</t>
  </si>
  <si>
    <t xml:space="preserve">sync_dashboard.html + live HTMX updates</t>
  </si>
  <si>
    <t xml:space="preserve">Unit: clean pull, push, conflict detect</t>
  </si>
  <si>
    <t xml:space="preserve">Integration: sync round-trip end-to-end</t>
  </si>
  <si>
    <t xml:space="preserve">Feature acceptance: sync scenarios</t>
  </si>
  <si>
    <t xml:space="preserve">Journey: sync → conflict → resolve</t>
  </si>
  <si>
    <t xml:space="preserve">E2E: sync workflow Playwright</t>
  </si>
  <si>
    <t xml:space="preserve">L1=1088K  L2=180K  Δ=-83%  ⚠ &gt;30%</t>
  </si>
  <si>
    <t xml:space="preserve">Impl plan: MCP base server review</t>
  </si>
  <si>
    <t xml:space="preserve">BPE-01 est. mode · Plan · EXTEND</t>
  </si>
  <si>
    <t xml:space="preserve">MCP config model (exists)</t>
  </si>
  <si>
    <t xml:space="preserve">MCPServer base (extend for new tools)</t>
  </si>
  <si>
    <t xml:space="preserve">MCP management UI (new)</t>
  </si>
  <si>
    <t xml:space="preserve">mcp_settings.html</t>
  </si>
  <si>
    <t xml:space="preserve">Unit: MCP server start/stop</t>
  </si>
  <si>
    <t xml:space="preserve">BPE-01 est. mode · Tests · EXTEND</t>
  </si>
  <si>
    <t xml:space="preserve">Feature acceptance: MCP integration</t>
  </si>
  <si>
    <t xml:space="preserve">L1=174K  L2=81K  Δ=-53%  ⚠ &gt;30%</t>
  </si>
  <si>
    <t xml:space="preserve">Review MCP playbooks</t>
  </si>
  <si>
    <t xml:space="preserve">MCP PB tools (done c049341)</t>
  </si>
  <si>
    <t xml:space="preserve">250 tests passing</t>
  </si>
  <si>
    <t xml:space="preserve">L1=174K  L2=20K  Δ=-88%  ⚠ &gt;30%</t>
  </si>
  <si>
    <t xml:space="preserve">Review MCP workflows</t>
  </si>
  <si>
    <t xml:space="preserve">MCP WF tools (done)</t>
  </si>
  <si>
    <t xml:space="preserve">L1=39K  L2=20K  Δ=-48%  ⚠ &gt;30%</t>
  </si>
  <si>
    <t xml:space="preserve">Review MCP activities</t>
  </si>
  <si>
    <t xml:space="preserve">MCP ACT tools (done)</t>
  </si>
  <si>
    <t xml:space="preserve">Review MCP agents</t>
  </si>
  <si>
    <t xml:space="preserve">MCP AGT tools (done)</t>
  </si>
  <si>
    <t xml:space="preserve">L1=10K  L2=16K  Δ=+56%  ⚠ &gt;30%</t>
  </si>
  <si>
    <t xml:space="preserve">Review MCP skills</t>
  </si>
  <si>
    <t xml:space="preserve">MCP SK tools (done)</t>
  </si>
  <si>
    <t xml:space="preserve">L1=39K  L2=16K  Δ=-60%  ⚠ &gt;30%</t>
  </si>
  <si>
    <t xml:space="preserve">Impl plan: settings page</t>
  </si>
  <si>
    <t xml:space="preserve">UserSettings model (extend accounts)</t>
  </si>
  <si>
    <t xml:space="preserve">SettingsService (read, update)</t>
  </si>
  <si>
    <t xml:space="preserve">SettingsView + URL</t>
  </si>
  <si>
    <t xml:space="preserve">settings.html + HTMX auto-save</t>
  </si>
  <si>
    <t xml:space="preserve">Unit: settings save + reload</t>
  </si>
  <si>
    <t xml:space="preserve">Feature acceptance: settings</t>
  </si>
  <si>
    <t xml:space="preserve">L1=10K  L2=104K  Δ=+940%  ⚠ &gt;30%</t>
  </si>
  <si>
    <t xml:space="preserve">Impl plan: error recovery</t>
  </si>
  <si>
    <t xml:space="preserve">Custom 404, 500, 403 handlers + URLs</t>
  </si>
  <si>
    <t xml:space="preserve">404.html, 500.html, error_recovery.html</t>
  </si>
  <si>
    <t xml:space="preserve">Unit: error page rendering</t>
  </si>
  <si>
    <t xml:space="preserve">Feature acceptance: error scenarios</t>
  </si>
  <si>
    <t xml:space="preserve">L1=39K  L2=72K  Δ=+85%  ⚠ &gt;30%</t>
  </si>
  <si>
    <t xml:space="preserve">Detailed Estimates — BPE-01 L2 vs L1 Cross-Check (EST-06 compliant · update after each sprint close)</t>
  </si>
  <si>
    <t xml:space="preserve">SP</t>
  </si>
  <si>
    <t xml:space="preserve">L2 Min(K)</t>
  </si>
  <si>
    <t xml:space="preserve">L2 Exp(K)</t>
  </si>
  <si>
    <t xml:space="preserve">L2 Max(K)</t>
  </si>
  <si>
    <t xml:space="preserve">L1 Exp(K)</t>
  </si>
  <si>
    <t xml:space="preserve">L1/L2 Δ%</t>
  </si>
  <si>
    <t xml:space="preserve">Actual(K)</t>
  </si>
  <si>
    <t xml:space="preserve">Token VF</t>
  </si>
  <si>
    <t xml:space="preserve">AFP Est($)</t>
  </si>
  <si>
    <t xml:space="preserve">AFP VF</t>
  </si>
  <si>
    <t xml:space="preserve">PLANNED</t>
  </si>
  <si>
    <t xml:space="preserve">⚠ L1/L2 Δ=+223% — review sizing</t>
  </si>
  <si>
    <t xml:space="preserve">⚠ L1/L2 Δ=+630% — review sizing</t>
  </si>
  <si>
    <t xml:space="preserve">⚠ L1/L2 Δ=+213% — review sizing</t>
  </si>
  <si>
    <t xml:space="preserve">⚠ L1/L2 Δ=-32% — review sizing</t>
  </si>
  <si>
    <t xml:space="preserve">⚠ L1/L2 Δ=-77% — review sizing</t>
  </si>
  <si>
    <t xml:space="preserve">⚠ L1/L2 Δ=-39% — review sizing</t>
  </si>
  <si>
    <t xml:space="preserve">⚠ L1/L2 Δ=+154% — review sizing</t>
  </si>
  <si>
    <t xml:space="preserve">⚠ L1/L2 Δ=+123% — review sizing</t>
  </si>
  <si>
    <t xml:space="preserve">⚠ L1/L2 Δ=-30% — review sizing</t>
  </si>
  <si>
    <t xml:space="preserve">⚠ L1/L2 Δ=+140% — review sizing</t>
  </si>
  <si>
    <t xml:space="preserve">⚠ L1/L2 Δ=-46% — review sizing</t>
  </si>
  <si>
    <t xml:space="preserve">⚠ L1/L2 Δ=+741% — review sizing</t>
  </si>
  <si>
    <t xml:space="preserve">⚠ L1/L2 Δ=+657% — review sizing</t>
  </si>
  <si>
    <t xml:space="preserve">L1/L2 Δ=-26% — acceptable</t>
  </si>
  <si>
    <t xml:space="preserve">⚠ L1/L2 Δ=+931% — review sizing</t>
  </si>
  <si>
    <t xml:space="preserve">⚠ L1/L2 Δ=+886% — review sizing</t>
  </si>
  <si>
    <t xml:space="preserve">⚠ L1/L2 Δ=+754% — review sizing</t>
  </si>
  <si>
    <t xml:space="preserve">⚠ L1/L2 Δ=-42% — review sizing</t>
  </si>
  <si>
    <t xml:space="preserve">⚠ L1/L2 Δ=+112% — review sizing</t>
  </si>
  <si>
    <t xml:space="preserve">⚠ L1/L2 Δ=+558% — review sizing</t>
  </si>
  <si>
    <t xml:space="preserve">⚠ L1/L2 Δ=+131% — review sizing</t>
  </si>
  <si>
    <t xml:space="preserve">⚠ L1/L2 Δ=+170% — review sizing</t>
  </si>
  <si>
    <t xml:space="preserve">⚠ L1/L2 Δ=+86% — review sizing</t>
  </si>
  <si>
    <t xml:space="preserve">⚠ L1/L2 Δ=-38% — review sizing</t>
  </si>
  <si>
    <t xml:space="preserve">⚠ L1/L2 Δ=+1036% — review sizing</t>
  </si>
  <si>
    <t xml:space="preserve">⚠ L1/L2 Δ=+226% — review sizing</t>
  </si>
  <si>
    <t xml:space="preserve">L1/L2 Δ=-28% — acceptable</t>
  </si>
  <si>
    <t xml:space="preserve">L1/L2 Δ=-24% — acceptable</t>
  </si>
  <si>
    <t xml:space="preserve">⚠ L1/L2 Δ=-83% — review sizing</t>
  </si>
  <si>
    <t xml:space="preserve">⚠ L1/L2 Δ=-53% — review sizing</t>
  </si>
  <si>
    <t xml:space="preserve">⚠ L1/L2 Δ=-88% — review sizing</t>
  </si>
  <si>
    <t xml:space="preserve">⚠ L1/L2 Δ=-48% — review sizing</t>
  </si>
  <si>
    <t xml:space="preserve">⚠ L1/L2 Δ=+56% — review sizing</t>
  </si>
  <si>
    <t xml:space="preserve">⚠ L1/L2 Δ=-60% — review sizing</t>
  </si>
  <si>
    <t xml:space="preserve">⚠ L1/L2 Δ=+940% — review sizing</t>
  </si>
  <si>
    <t xml:space="preserve">⚠ L1/L2 Δ=+85% — review sizing</t>
  </si>
  <si>
    <t xml:space="preserve">TOTAL</t>
  </si>
</sst>
</file>

<file path=xl/styles.xml><?xml version="1.0" encoding="utf-8"?>
<styleSheet xmlns="http://schemas.openxmlformats.org/spreadsheetml/2006/main">
  <numFmts count="8">
    <numFmt numFmtId="164" formatCode="&quot;$&quot;#,##0.00"/>
    <numFmt numFmtId="165" formatCode="#,##0.0"/>
    <numFmt numFmtId="166" formatCode="#,##0.000"/>
    <numFmt numFmtId="167" formatCode="0.0%;(0.0%);-"/>
    <numFmt numFmtId="168" formatCode="#,##0.1"/>
    <numFmt numFmtId="169" formatCode="&quot;$&quot;#,##0"/>
    <numFmt numFmtId="170" formatCode="$#,##0"/>
    <numFmt numFmtId="171" formatCode="0.0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1F2D3D"/>
      <sz val="10"/>
    </font>
    <font>
      <name val="Arial"/>
      <color rgb="000000CC"/>
      <sz val="10"/>
    </font>
    <font>
      <name val="Arial"/>
      <b val="1"/>
      <color rgb="001F2D3D"/>
      <sz val="10"/>
    </font>
    <font>
      <name val="Arial"/>
      <color rgb="00555555"/>
      <sz val="9"/>
    </font>
    <font>
      <name val="Arial"/>
      <i val="1"/>
      <color rgb="00555555"/>
      <sz val="9"/>
    </font>
    <font>
      <name val="Arial"/>
      <i val="1"/>
      <color rgb="00888888"/>
      <sz val="9"/>
    </font>
    <font>
      <name val="Arial"/>
      <color rgb="00888888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i val="1"/>
      <color rgb="00444444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2"/>
    </font>
    <font>
      <name val="Calibri"/>
      <sz val="9"/>
    </font>
    <font>
      <name val="Calibri"/>
      <b val="1"/>
      <sz val="9"/>
    </font>
    <font>
      <name val="Calibri"/>
      <color rgb="00000000"/>
      <sz val="9"/>
    </font>
    <font>
      <name val="Calibri"/>
      <b val="1"/>
      <color rgb="00000000"/>
      <sz val="9"/>
    </font>
  </fonts>
  <fills count="24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048A81"/>
      </patternFill>
    </fill>
    <fill>
      <patternFill patternType="solid">
        <fgColor rgb="002E4057"/>
      </patternFill>
    </fill>
    <fill>
      <patternFill patternType="solid">
        <fgColor rgb="00FFFDE7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54C6EB"/>
      </patternFill>
    </fill>
    <fill>
      <patternFill patternType="solid">
        <fgColor rgb="00F4A261"/>
      </patternFill>
    </fill>
    <fill>
      <patternFill patternType="solid">
        <fgColor rgb="00F8F9FA"/>
      </patternFill>
    </fill>
    <fill>
      <patternFill patternType="solid">
        <fgColor rgb="002D6A4F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1B4332"/>
      </patternFill>
    </fill>
    <fill>
      <patternFill patternType="solid">
        <fgColor rgb="00D1FAE5"/>
      </patternFill>
    </fill>
    <fill>
      <patternFill patternType="solid">
        <fgColor rgb="00F0FFF4"/>
      </patternFill>
    </fill>
    <fill>
      <patternFill patternType="solid">
        <fgColor rgb="00A7F3D0"/>
      </patternFill>
    </fill>
    <fill>
      <patternFill patternType="solid">
        <fgColor rgb="006EE7B7"/>
      </patternFill>
    </fill>
    <fill>
      <patternFill patternType="solid">
        <fgColor rgb="00FAFFFE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D4EDDA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right" vertical="center"/>
    </xf>
    <xf numFmtId="0" fontId="7" fillId="0" borderId="0" pivotButton="0" quotePrefix="0" xfId="0"/>
    <xf numFmtId="3" fontId="5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6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9" borderId="0" applyAlignment="1" pivotButton="0" quotePrefix="0" xfId="0">
      <alignment horizontal="left" vertical="center" wrapText="1"/>
    </xf>
    <xf numFmtId="0" fontId="6" fillId="0" borderId="0" pivotButton="0" quotePrefix="0" xfId="0"/>
    <xf numFmtId="166" fontId="4" fillId="0" borderId="1" applyAlignment="1" pivotButton="0" quotePrefix="0" xfId="0">
      <alignment horizontal="right" vertical="center"/>
    </xf>
    <xf numFmtId="166" fontId="4" fillId="10" borderId="1" applyAlignment="1" pivotButton="0" quotePrefix="0" xfId="0">
      <alignment horizontal="right" vertical="center"/>
    </xf>
    <xf numFmtId="0" fontId="10" fillId="0" borderId="0" pivotButton="0" quotePrefix="0" xfId="0"/>
    <xf numFmtId="0" fontId="2" fillId="1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/>
    </xf>
    <xf numFmtId="0" fontId="0" fillId="11" borderId="1" pivotButton="0" quotePrefix="0" xfId="0"/>
    <xf numFmtId="0" fontId="8" fillId="5" borderId="0" applyAlignment="1" pivotButton="0" quotePrefix="0" xfId="0">
      <alignment horizontal="left" vertical="center" wrapText="1"/>
    </xf>
    <xf numFmtId="167" fontId="4" fillId="0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left"/>
    </xf>
    <xf numFmtId="0" fontId="7" fillId="0" borderId="1" applyAlignment="1" pivotButton="0" quotePrefix="0" xfId="0">
      <alignment horizontal="left" wrapText="1"/>
    </xf>
    <xf numFmtId="164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/>
    </xf>
    <xf numFmtId="165" fontId="12" fillId="5" borderId="1" applyAlignment="1" pivotButton="0" quotePrefix="0" xfId="0">
      <alignment horizontal="left" vertical="center" wrapText="1"/>
    </xf>
    <xf numFmtId="165" fontId="12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165" fontId="13" fillId="8" borderId="1" applyAlignment="1" pivotButton="0" quotePrefix="0" xfId="0">
      <alignment horizontal="right" vertical="center"/>
    </xf>
    <xf numFmtId="164" fontId="13" fillId="8" borderId="1" applyAlignment="1" pivotButton="0" quotePrefix="0" xfId="0">
      <alignment horizontal="right" vertical="center"/>
    </xf>
    <xf numFmtId="165" fontId="13" fillId="7" borderId="1" applyAlignment="1" pivotButton="0" quotePrefix="0" xfId="0">
      <alignment horizontal="right"/>
    </xf>
    <xf numFmtId="168" fontId="13" fillId="7" borderId="1" applyAlignment="1" pivotButton="0" quotePrefix="0" xfId="0">
      <alignment horizontal="right"/>
    </xf>
    <xf numFmtId="164" fontId="13" fillId="7" borderId="1" applyAlignment="1" pivotButton="0" quotePrefix="0" xfId="0">
      <alignment horizontal="right"/>
    </xf>
    <xf numFmtId="0" fontId="12" fillId="0" borderId="1" applyAlignment="1" pivotButton="0" quotePrefix="0" xfId="0">
      <alignment horizontal="left"/>
    </xf>
    <xf numFmtId="168" fontId="12" fillId="0" borderId="1" applyAlignment="1" pivotButton="0" quotePrefix="0" xfId="0">
      <alignment horizontal="right"/>
    </xf>
    <xf numFmtId="164" fontId="12" fillId="0" borderId="1" applyAlignment="1" pivotButton="0" quotePrefix="0" xfId="0">
      <alignment horizontal="right"/>
    </xf>
    <xf numFmtId="168" fontId="12" fillId="8" borderId="1" applyAlignment="1" pivotButton="0" quotePrefix="0" xfId="0">
      <alignment horizontal="right"/>
    </xf>
    <xf numFmtId="164" fontId="12" fillId="8" borderId="1" applyAlignment="1" pivotButton="0" quotePrefix="0" xfId="0">
      <alignment horizontal="right"/>
    </xf>
    <xf numFmtId="0" fontId="13" fillId="8" borderId="1" applyAlignment="1" pivotButton="0" quotePrefix="0" xfId="0">
      <alignment horizontal="left"/>
    </xf>
    <xf numFmtId="0" fontId="14" fillId="0" borderId="0" applyAlignment="1" pivotButton="0" quotePrefix="0" xfId="0">
      <alignment horizontal="left" vertical="center" wrapText="1"/>
    </xf>
    <xf numFmtId="165" fontId="5" fillId="5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right" vertical="center" wrapText="1"/>
    </xf>
    <xf numFmtId="3" fontId="4" fillId="0" borderId="1" applyAlignment="1" pivotButton="0" quotePrefix="0" xfId="0">
      <alignment horizontal="right" vertical="center" wrapText="1"/>
    </xf>
    <xf numFmtId="3" fontId="5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7" borderId="1" pivotButton="0" quotePrefix="0" xfId="0"/>
    <xf numFmtId="3" fontId="13" fillId="7" borderId="1" applyAlignment="1" pivotButton="0" quotePrefix="0" xfId="0">
      <alignment horizontal="right"/>
    </xf>
    <xf numFmtId="0" fontId="14" fillId="0" borderId="0" pivotButton="0" quotePrefix="0" xfId="0"/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wrapText="1"/>
    </xf>
    <xf numFmtId="0" fontId="12" fillId="5" borderId="1" applyAlignment="1" pivotButton="0" quotePrefix="0" xfId="0">
      <alignment horizontal="center"/>
    </xf>
    <xf numFmtId="3" fontId="12" fillId="5" borderId="1" applyAlignment="1" pivotButton="0" quotePrefix="0" xfId="0">
      <alignment horizontal="right"/>
    </xf>
    <xf numFmtId="168" fontId="12" fillId="5" borderId="1" applyAlignment="1" pivotButton="0" quotePrefix="0" xfId="0">
      <alignment horizontal="right"/>
    </xf>
    <xf numFmtId="3" fontId="12" fillId="0" borderId="1" applyAlignment="1" pivotButton="0" quotePrefix="0" xfId="0">
      <alignment horizontal="right"/>
    </xf>
    <xf numFmtId="165" fontId="12" fillId="0" borderId="1" applyAlignment="1" pivotButton="0" quotePrefix="0" xfId="0">
      <alignment horizontal="right"/>
    </xf>
    <xf numFmtId="0" fontId="12" fillId="5" borderId="1" applyAlignment="1" pivotButton="0" quotePrefix="0" xfId="0">
      <alignment horizontal="left"/>
    </xf>
    <xf numFmtId="0" fontId="13" fillId="0" borderId="1" applyAlignment="1" pivotButton="0" quotePrefix="0" xfId="0">
      <alignment horizontal="left"/>
    </xf>
    <xf numFmtId="169" fontId="12" fillId="0" borderId="1" applyAlignment="1" pivotButton="0" quotePrefix="0" xfId="0">
      <alignment horizontal="right"/>
    </xf>
    <xf numFmtId="0" fontId="12" fillId="8" borderId="1" applyAlignment="1" pivotButton="0" quotePrefix="0" xfId="0">
      <alignment horizontal="left"/>
    </xf>
    <xf numFmtId="3" fontId="12" fillId="8" borderId="1" applyAlignment="1" pivotButton="0" quotePrefix="0" xfId="0">
      <alignment horizontal="right"/>
    </xf>
    <xf numFmtId="169" fontId="12" fillId="8" borderId="1" applyAlignment="1" pivotButton="0" quotePrefix="0" xfId="0">
      <alignment horizontal="right"/>
    </xf>
    <xf numFmtId="165" fontId="12" fillId="8" borderId="1" applyAlignment="1" pivotButton="0" quotePrefix="0" xfId="0">
      <alignment horizontal="right"/>
    </xf>
    <xf numFmtId="0" fontId="15" fillId="3" borderId="0" applyAlignment="1" pivotButton="0" quotePrefix="0" xfId="0">
      <alignment horizontal="center" vertical="center"/>
    </xf>
    <xf numFmtId="0" fontId="16" fillId="12" borderId="2" applyAlignment="1" pivotButton="0" quotePrefix="0" xfId="0">
      <alignment horizontal="center" vertical="center"/>
    </xf>
    <xf numFmtId="0" fontId="17" fillId="8" borderId="2" applyAlignment="1" pivotButton="0" quotePrefix="0" xfId="0">
      <alignment horizontal="right"/>
    </xf>
    <xf numFmtId="1" fontId="17" fillId="8" borderId="2" applyAlignment="1" pivotButton="0" quotePrefix="0" xfId="0">
      <alignment horizontal="right"/>
    </xf>
    <xf numFmtId="165" fontId="17" fillId="8" borderId="2" applyAlignment="1" pivotButton="0" quotePrefix="0" xfId="0">
      <alignment horizontal="right"/>
    </xf>
    <xf numFmtId="2" fontId="17" fillId="8" borderId="2" applyAlignment="1" pivotButton="0" quotePrefix="0" xfId="0">
      <alignment horizontal="right"/>
    </xf>
    <xf numFmtId="0" fontId="17" fillId="13" borderId="2" applyAlignment="1" pivotButton="0" quotePrefix="0" xfId="0">
      <alignment horizontal="right"/>
    </xf>
    <xf numFmtId="1" fontId="17" fillId="13" borderId="2" applyAlignment="1" pivotButton="0" quotePrefix="0" xfId="0">
      <alignment horizontal="right"/>
    </xf>
    <xf numFmtId="165" fontId="17" fillId="13" borderId="2" applyAlignment="1" pivotButton="0" quotePrefix="0" xfId="0">
      <alignment horizontal="right"/>
    </xf>
    <xf numFmtId="2" fontId="17" fillId="13" borderId="2" applyAlignment="1" pivotButton="0" quotePrefix="0" xfId="0">
      <alignment horizontal="right"/>
    </xf>
    <xf numFmtId="0" fontId="17" fillId="14" borderId="2" applyAlignment="1" pivotButton="0" quotePrefix="0" xfId="0">
      <alignment horizontal="right"/>
    </xf>
    <xf numFmtId="1" fontId="17" fillId="14" borderId="2" applyAlignment="1" pivotButton="0" quotePrefix="0" xfId="0">
      <alignment horizontal="right"/>
    </xf>
    <xf numFmtId="165" fontId="17" fillId="14" borderId="2" applyAlignment="1" pivotButton="0" quotePrefix="0" xfId="0">
      <alignment horizontal="right"/>
    </xf>
    <xf numFmtId="2" fontId="17" fillId="14" borderId="2" applyAlignment="1" pivotButton="0" quotePrefix="0" xfId="0">
      <alignment horizontal="right"/>
    </xf>
    <xf numFmtId="0" fontId="18" fillId="15" borderId="0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center" vertical="center" wrapText="1"/>
    </xf>
    <xf numFmtId="0" fontId="19" fillId="16" borderId="2" applyAlignment="1" pivotButton="0" quotePrefix="0" xfId="0">
      <alignment horizontal="left" vertical="center" wrapText="1"/>
    </xf>
    <xf numFmtId="0" fontId="19" fillId="16" borderId="2" applyAlignment="1" pivotButton="0" quotePrefix="0" xfId="0">
      <alignment horizontal="right" vertical="center"/>
    </xf>
    <xf numFmtId="165" fontId="19" fillId="16" borderId="2" applyAlignment="1" pivotButton="0" quotePrefix="0" xfId="0">
      <alignment horizontal="right" vertical="center"/>
    </xf>
    <xf numFmtId="3" fontId="19" fillId="16" borderId="2" applyAlignment="1" pivotButton="0" quotePrefix="0" xfId="0">
      <alignment horizontal="right" vertical="center"/>
    </xf>
    <xf numFmtId="0" fontId="20" fillId="17" borderId="2" applyAlignment="1" pivotButton="0" quotePrefix="0" xfId="0">
      <alignment horizontal="left" vertical="center" wrapText="1"/>
    </xf>
    <xf numFmtId="165" fontId="20" fillId="17" borderId="2" applyAlignment="1" pivotButton="0" quotePrefix="0" xfId="0">
      <alignment horizontal="left" vertical="center" wrapText="1"/>
    </xf>
    <xf numFmtId="3" fontId="20" fillId="17" borderId="2" applyAlignment="1" pivotButton="0" quotePrefix="0" xfId="0">
      <alignment horizontal="left" vertical="center" wrapText="1"/>
    </xf>
    <xf numFmtId="3" fontId="20" fillId="17" borderId="2" applyAlignment="1" pivotButton="0" quotePrefix="0" xfId="0">
      <alignment horizontal="right" vertical="center"/>
    </xf>
    <xf numFmtId="0" fontId="19" fillId="17" borderId="2" applyAlignment="1" pivotButton="0" quotePrefix="0" xfId="0">
      <alignment horizontal="left" vertical="center" wrapText="1"/>
    </xf>
    <xf numFmtId="165" fontId="19" fillId="17" borderId="2" applyAlignment="1" pivotButton="0" quotePrefix="0" xfId="0">
      <alignment horizontal="right" vertical="center"/>
    </xf>
    <xf numFmtId="3" fontId="19" fillId="17" borderId="2" applyAlignment="1" pivotButton="0" quotePrefix="0" xfId="0">
      <alignment horizontal="right" vertical="center"/>
    </xf>
    <xf numFmtId="0" fontId="19" fillId="17" borderId="2" applyAlignment="1" pivotButton="0" quotePrefix="0" xfId="0">
      <alignment horizontal="right" vertical="center"/>
    </xf>
    <xf numFmtId="0" fontId="19" fillId="18" borderId="2" applyAlignment="1" pivotButton="0" quotePrefix="0" xfId="0">
      <alignment horizontal="left" vertical="center" wrapText="1"/>
    </xf>
    <xf numFmtId="165" fontId="19" fillId="18" borderId="2" applyAlignment="1" pivotButton="0" quotePrefix="0" xfId="0">
      <alignment horizontal="right" vertical="center"/>
    </xf>
    <xf numFmtId="3" fontId="19" fillId="18" borderId="2" applyAlignment="1" pivotButton="0" quotePrefix="0" xfId="0">
      <alignment horizontal="right" vertical="center"/>
    </xf>
    <xf numFmtId="0" fontId="19" fillId="18" borderId="2" applyAlignment="1" pivotButton="0" quotePrefix="0" xfId="0">
      <alignment horizontal="right" vertical="center"/>
    </xf>
    <xf numFmtId="0" fontId="20" fillId="17" borderId="2" pivotButton="0" quotePrefix="0" xfId="0"/>
    <xf numFmtId="0" fontId="19" fillId="19" borderId="2" applyAlignment="1" pivotButton="0" quotePrefix="0" xfId="0">
      <alignment horizontal="left" vertical="center" wrapText="1"/>
    </xf>
    <xf numFmtId="0" fontId="19" fillId="19" borderId="2" applyAlignment="1" pivotButton="0" quotePrefix="0" xfId="0">
      <alignment horizontal="right" vertical="center"/>
    </xf>
    <xf numFmtId="9" fontId="19" fillId="16" borderId="2" applyAlignment="1" pivotButton="0" quotePrefix="0" xfId="0">
      <alignment horizontal="right" vertical="center"/>
    </xf>
    <xf numFmtId="4" fontId="19" fillId="16" borderId="2" applyAlignment="1" pivotButton="0" quotePrefix="0" xfId="0">
      <alignment horizontal="right" vertical="center"/>
    </xf>
    <xf numFmtId="170" fontId="19" fillId="16" borderId="2" applyAlignment="1" pivotButton="0" quotePrefix="0" xfId="0">
      <alignment horizontal="right" vertical="center"/>
    </xf>
    <xf numFmtId="0" fontId="19" fillId="20" borderId="2" applyAlignment="1" pivotButton="0" quotePrefix="0" xfId="0">
      <alignment horizontal="left" vertical="center" wrapText="1"/>
    </xf>
    <xf numFmtId="165" fontId="19" fillId="20" borderId="2" applyAlignment="1" pivotButton="0" quotePrefix="0" xfId="0">
      <alignment horizontal="right" vertical="center"/>
    </xf>
    <xf numFmtId="9" fontId="19" fillId="20" borderId="2" applyAlignment="1" pivotButton="0" quotePrefix="0" xfId="0">
      <alignment horizontal="right" vertical="center"/>
    </xf>
    <xf numFmtId="4" fontId="19" fillId="20" borderId="2" applyAlignment="1" pivotButton="0" quotePrefix="0" xfId="0">
      <alignment horizontal="right" vertical="center"/>
    </xf>
    <xf numFmtId="170" fontId="19" fillId="20" borderId="2" applyAlignment="1" pivotButton="0" quotePrefix="0" xfId="0">
      <alignment horizontal="right" vertical="center"/>
    </xf>
    <xf numFmtId="0" fontId="19" fillId="20" borderId="2" applyAlignment="1" pivotButton="0" quotePrefix="0" xfId="0">
      <alignment horizontal="right" vertical="center"/>
    </xf>
    <xf numFmtId="9" fontId="19" fillId="18" borderId="2" applyAlignment="1" pivotButton="0" quotePrefix="0" xfId="0">
      <alignment horizontal="right" vertical="center"/>
    </xf>
    <xf numFmtId="4" fontId="19" fillId="18" borderId="2" applyAlignment="1" pivotButton="0" quotePrefix="0" xfId="0">
      <alignment horizontal="right" vertical="center"/>
    </xf>
    <xf numFmtId="170" fontId="19" fillId="18" borderId="2" applyAlignment="1" pivotButton="0" quotePrefix="0" xfId="0">
      <alignment horizontal="right" vertical="center"/>
    </xf>
    <xf numFmtId="9" fontId="19" fillId="17" borderId="2" applyAlignment="1" pivotButton="0" quotePrefix="0" xfId="0">
      <alignment horizontal="right" vertical="center"/>
    </xf>
    <xf numFmtId="4" fontId="19" fillId="17" borderId="2" applyAlignment="1" pivotButton="0" quotePrefix="0" xfId="0">
      <alignment horizontal="right" vertical="center"/>
    </xf>
    <xf numFmtId="170" fontId="19" fillId="17" borderId="2" applyAlignment="1" pivotButton="0" quotePrefix="0" xfId="0">
      <alignment horizontal="right" vertical="center"/>
    </xf>
    <xf numFmtId="3" fontId="19" fillId="20" borderId="2" applyAlignment="1" pivotButton="0" quotePrefix="0" xfId="0">
      <alignment horizontal="right" vertical="center"/>
    </xf>
    <xf numFmtId="165" fontId="19" fillId="19" borderId="2" applyAlignment="1" pivotButton="0" quotePrefix="0" xfId="0">
      <alignment horizontal="right" vertical="center"/>
    </xf>
    <xf numFmtId="9" fontId="19" fillId="19" borderId="2" applyAlignment="1" pivotButton="0" quotePrefix="0" xfId="0">
      <alignment horizontal="right" vertical="center"/>
    </xf>
    <xf numFmtId="170" fontId="19" fillId="19" borderId="2" applyAlignment="1" pivotButton="0" quotePrefix="0" xfId="0">
      <alignment horizontal="right" vertical="center"/>
    </xf>
    <xf numFmtId="0" fontId="16" fillId="15" borderId="2" applyAlignment="1" pivotButton="0" quotePrefix="0" xfId="0">
      <alignment horizontal="left" vertical="center" wrapText="1"/>
    </xf>
    <xf numFmtId="0" fontId="16" fillId="15" borderId="2" applyAlignment="1" pivotButton="0" quotePrefix="0" xfId="0">
      <alignment horizontal="right" vertical="center"/>
    </xf>
    <xf numFmtId="171" fontId="16" fillId="15" borderId="2" applyAlignment="1" pivotButton="0" quotePrefix="0" xfId="0">
      <alignment horizontal="right" vertical="center"/>
    </xf>
    <xf numFmtId="165" fontId="16" fillId="15" borderId="2" applyAlignment="1" pivotButton="0" quotePrefix="0" xfId="0">
      <alignment horizontal="right" vertical="center"/>
    </xf>
    <xf numFmtId="170" fontId="16" fillId="15" borderId="2" applyAlignment="1" pivotButton="0" quotePrefix="0" xfId="0">
      <alignment horizontal="right" vertical="center"/>
    </xf>
    <xf numFmtId="0" fontId="21" fillId="16" borderId="2" applyAlignment="1" pivotButton="0" quotePrefix="0" xfId="0">
      <alignment horizontal="left" vertical="center" wrapText="1"/>
    </xf>
    <xf numFmtId="0" fontId="21" fillId="21" borderId="2" applyAlignment="1" pivotButton="0" quotePrefix="0" xfId="0">
      <alignment horizontal="left" vertical="center" wrapText="1"/>
    </xf>
    <xf numFmtId="0" fontId="21" fillId="16" borderId="2" applyAlignment="1" pivotButton="0" quotePrefix="0" xfId="0">
      <alignment horizontal="right" vertical="center" wrapText="1"/>
    </xf>
    <xf numFmtId="171" fontId="21" fillId="16" borderId="2" applyAlignment="1" pivotButton="0" quotePrefix="0" xfId="0">
      <alignment horizontal="right" vertical="center" wrapText="1"/>
    </xf>
    <xf numFmtId="0" fontId="21" fillId="22" borderId="2" applyAlignment="1" pivotButton="0" quotePrefix="0" xfId="0">
      <alignment horizontal="left" vertical="center" wrapText="1"/>
    </xf>
    <xf numFmtId="165" fontId="21" fillId="16" borderId="2" applyAlignment="1" pivotButton="0" quotePrefix="0" xfId="0">
      <alignment horizontal="right" vertical="center" wrapText="1"/>
    </xf>
    <xf numFmtId="3" fontId="21" fillId="16" borderId="2" applyAlignment="1" pivotButton="0" quotePrefix="0" xfId="0">
      <alignment horizontal="right" vertical="center" wrapText="1"/>
    </xf>
    <xf numFmtId="0" fontId="22" fillId="8" borderId="2" applyAlignment="1" pivotButton="0" quotePrefix="0" xfId="0">
      <alignment horizontal="left" vertical="center" wrapText="1"/>
    </xf>
    <xf numFmtId="165" fontId="22" fillId="8" borderId="2" applyAlignment="1" pivotButton="0" quotePrefix="0" xfId="0">
      <alignment horizontal="right" vertical="center"/>
    </xf>
    <xf numFmtId="171" fontId="22" fillId="8" borderId="2" applyAlignment="1" pivotButton="0" quotePrefix="0" xfId="0">
      <alignment horizontal="right" vertical="center"/>
    </xf>
    <xf numFmtId="3" fontId="22" fillId="8" borderId="2" applyAlignment="1" pivotButton="0" quotePrefix="0" xfId="0">
      <alignment horizontal="right" vertical="center"/>
    </xf>
    <xf numFmtId="0" fontId="21" fillId="17" borderId="2" applyAlignment="1" pivotButton="0" quotePrefix="0" xfId="0">
      <alignment horizontal="left" vertical="center" wrapText="1"/>
    </xf>
    <xf numFmtId="165" fontId="21" fillId="17" borderId="2" applyAlignment="1" pivotButton="0" quotePrefix="0" xfId="0">
      <alignment horizontal="right" vertical="center" wrapText="1"/>
    </xf>
    <xf numFmtId="171" fontId="21" fillId="17" borderId="2" applyAlignment="1" pivotButton="0" quotePrefix="0" xfId="0">
      <alignment horizontal="right" vertical="center" wrapText="1"/>
    </xf>
    <xf numFmtId="3" fontId="21" fillId="17" borderId="2" applyAlignment="1" pivotButton="0" quotePrefix="0" xfId="0">
      <alignment horizontal="right" vertical="center" wrapText="1"/>
    </xf>
    <xf numFmtId="0" fontId="21" fillId="18" borderId="2" applyAlignment="1" pivotButton="0" quotePrefix="0" xfId="0">
      <alignment horizontal="left" vertical="center" wrapText="1"/>
    </xf>
    <xf numFmtId="165" fontId="21" fillId="18" borderId="2" applyAlignment="1" pivotButton="0" quotePrefix="0" xfId="0">
      <alignment horizontal="right" vertical="center" wrapText="1"/>
    </xf>
    <xf numFmtId="171" fontId="21" fillId="18" borderId="2" applyAlignment="1" pivotButton="0" quotePrefix="0" xfId="0">
      <alignment horizontal="right" vertical="center" wrapText="1"/>
    </xf>
    <xf numFmtId="3" fontId="21" fillId="18" borderId="2" applyAlignment="1" pivotButton="0" quotePrefix="0" xfId="0">
      <alignment horizontal="right" vertical="center" wrapText="1"/>
    </xf>
    <xf numFmtId="0" fontId="21" fillId="23" borderId="2" applyAlignment="1" pivotButton="0" quotePrefix="0" xfId="0">
      <alignment horizontal="left" vertical="center" wrapText="1"/>
    </xf>
    <xf numFmtId="0" fontId="21" fillId="18" borderId="2" applyAlignment="1" pivotButton="0" quotePrefix="0" xfId="0">
      <alignment horizontal="right" vertical="center" wrapText="1"/>
    </xf>
    <xf numFmtId="0" fontId="22" fillId="8" borderId="2" applyAlignment="1" pivotButton="0" quotePrefix="0" xfId="0">
      <alignment horizontal="right" vertical="center"/>
    </xf>
    <xf numFmtId="0" fontId="22" fillId="8" borderId="2" pivotButton="0" quotePrefix="0" xfId="0"/>
    <xf numFmtId="171" fontId="22" fillId="8" borderId="2" pivotButton="0" quotePrefix="0" xfId="0"/>
    <xf numFmtId="0" fontId="21" fillId="17" borderId="2" applyAlignment="1" pivotButton="0" quotePrefix="0" xfId="0">
      <alignment horizontal="right" vertical="center" wrapText="1"/>
    </xf>
    <xf numFmtId="0" fontId="21" fillId="19" borderId="2" applyAlignment="1" pivotButton="0" quotePrefix="0" xfId="0">
      <alignment horizontal="left" vertical="center" wrapText="1"/>
    </xf>
    <xf numFmtId="0" fontId="21" fillId="19" borderId="2" applyAlignment="1" pivotButton="0" quotePrefix="0" xfId="0">
      <alignment horizontal="right" vertical="center" wrapText="1"/>
    </xf>
    <xf numFmtId="171" fontId="21" fillId="19" borderId="2" applyAlignment="1" pivotButton="0" quotePrefix="0" xfId="0">
      <alignment horizontal="right" vertical="center" wrapText="1"/>
    </xf>
    <xf numFmtId="9" fontId="21" fillId="16" borderId="2" applyAlignment="1" pivotButton="0" quotePrefix="0" xfId="0">
      <alignment horizontal="right" vertical="center" wrapText="1"/>
    </xf>
    <xf numFmtId="4" fontId="21" fillId="16" borderId="2" applyAlignment="1" pivotButton="0" quotePrefix="0" xfId="0">
      <alignment horizontal="right" vertical="center" wrapText="1"/>
    </xf>
    <xf numFmtId="170" fontId="21" fillId="16" borderId="2" applyAlignment="1" pivotButton="0" quotePrefix="0" xfId="0">
      <alignment horizontal="right" vertical="center" wrapText="1"/>
    </xf>
    <xf numFmtId="0" fontId="21" fillId="20" borderId="2" applyAlignment="1" pivotButton="0" quotePrefix="0" xfId="0">
      <alignment horizontal="left" vertical="center" wrapText="1"/>
    </xf>
    <xf numFmtId="165" fontId="21" fillId="20" borderId="2" applyAlignment="1" pivotButton="0" quotePrefix="0" xfId="0">
      <alignment horizontal="right" vertical="center" wrapText="1"/>
    </xf>
    <xf numFmtId="9" fontId="21" fillId="20" borderId="2" applyAlignment="1" pivotButton="0" quotePrefix="0" xfId="0">
      <alignment horizontal="right" vertical="center" wrapText="1"/>
    </xf>
    <xf numFmtId="4" fontId="21" fillId="20" borderId="2" applyAlignment="1" pivotButton="0" quotePrefix="0" xfId="0">
      <alignment horizontal="right" vertical="center" wrapText="1"/>
    </xf>
    <xf numFmtId="170" fontId="21" fillId="20" borderId="2" applyAlignment="1" pivotButton="0" quotePrefix="0" xfId="0">
      <alignment horizontal="right" vertical="center" wrapText="1"/>
    </xf>
    <xf numFmtId="0" fontId="21" fillId="20" borderId="2" applyAlignment="1" pivotButton="0" quotePrefix="0" xfId="0">
      <alignment horizontal="right" vertical="center" wrapText="1"/>
    </xf>
    <xf numFmtId="9" fontId="21" fillId="18" borderId="2" applyAlignment="1" pivotButton="0" quotePrefix="0" xfId="0">
      <alignment horizontal="right" vertical="center" wrapText="1"/>
    </xf>
    <xf numFmtId="4" fontId="21" fillId="18" borderId="2" applyAlignment="1" pivotButton="0" quotePrefix="0" xfId="0">
      <alignment horizontal="right" vertical="center" wrapText="1"/>
    </xf>
    <xf numFmtId="170" fontId="21" fillId="18" borderId="2" applyAlignment="1" pivotButton="0" quotePrefix="0" xfId="0">
      <alignment horizontal="right" vertical="center" wrapText="1"/>
    </xf>
    <xf numFmtId="9" fontId="21" fillId="17" borderId="2" applyAlignment="1" pivotButton="0" quotePrefix="0" xfId="0">
      <alignment horizontal="right" vertical="center" wrapText="1"/>
    </xf>
    <xf numFmtId="4" fontId="21" fillId="17" borderId="2" applyAlignment="1" pivotButton="0" quotePrefix="0" xfId="0">
      <alignment horizontal="right" vertical="center" wrapText="1"/>
    </xf>
    <xf numFmtId="170" fontId="21" fillId="17" borderId="2" applyAlignment="1" pivotButton="0" quotePrefix="0" xfId="0">
      <alignment horizontal="right" vertical="center" wrapText="1"/>
    </xf>
    <xf numFmtId="3" fontId="21" fillId="20" borderId="2" applyAlignment="1" pivotButton="0" quotePrefix="0" xfId="0">
      <alignment horizontal="right" vertical="center" wrapText="1"/>
    </xf>
    <xf numFmtId="165" fontId="21" fillId="19" borderId="2" applyAlignment="1" pivotButton="0" quotePrefix="0" xfId="0">
      <alignment horizontal="right" vertical="center" wrapText="1"/>
    </xf>
    <xf numFmtId="9" fontId="21" fillId="19" borderId="2" applyAlignment="1" pivotButton="0" quotePrefix="0" xfId="0">
      <alignment horizontal="right" vertical="center" wrapText="1"/>
    </xf>
    <xf numFmtId="170" fontId="21" fillId="19" borderId="2" applyAlignment="1" pivotButton="0" quotePrefix="0" xfId="0">
      <alignment horizontal="right" vertical="center" wrapText="1"/>
    </xf>
    <xf numFmtId="0" fontId="16" fillId="15" borderId="2" applyAlignment="1" pivotButton="0" quotePrefix="0" xfId="0">
      <alignment horizontal="right" vertical="center" wrapText="1"/>
    </xf>
    <xf numFmtId="171" fontId="16" fillId="15" borderId="2" applyAlignment="1" pivotButton="0" quotePrefix="0" xfId="0">
      <alignment horizontal="right" vertical="center" wrapText="1"/>
    </xf>
    <xf numFmtId="165" fontId="16" fillId="15" borderId="2" applyAlignment="1" pivotButton="0" quotePrefix="0" xfId="0">
      <alignment horizontal="right" vertical="center" wrapText="1"/>
    </xf>
    <xf numFmtId="170" fontId="16" fillId="15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Relationship Type="http://schemas.openxmlformats.org/officeDocument/2006/relationships/sharedStrings" Target="sharedStrings.xml" Id="rIdSS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Token Budget S-Curve</a:t>
            </a:r>
          </a:p>
        </rich>
      </tx>
    </title>
    <plotArea>
      <lineChart>
        <grouping val="standard"/>
        <ser>
          <idx val="0"/>
          <order val="0"/>
          <tx>
            <v>Token Budget S-Curve</v>
          </tx>
          <spPr>
            <a:ln xmlns:a="http://schemas.openxmlformats.org/drawingml/2006/main" w="25400">
              <a:solidFill>
                <a:srgbClr val="048A8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'6-Monte Carlo'!$B$23:$B$122</f>
            </numRef>
          </cat>
          <val>
            <numRef>
              <f>'6-Monte Carlo'!$C$23:$C$122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Probability (%)</a:t>
                </a:r>
              </a:p>
            </rich>
          </tx>
        </title>
        <numFmt formatCode="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ax val="70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Tokens</a:t>
                </a:r>
              </a:p>
            </rich>
          </tx>
        </title>
        <numFmt formatCode="#,##0" sourceLinked="0"/>
        <majorTickMark val="out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Duration S-Curve</a:t>
            </a:r>
          </a:p>
        </rich>
      </tx>
    </title>
    <plotArea>
      <lineChart>
        <grouping val="standard"/>
        <ser>
          <idx val="0"/>
          <order val="0"/>
          <tx>
            <v>Duration S-Curve</v>
          </tx>
          <spPr>
            <a:ln xmlns:a="http://schemas.openxmlformats.org/drawingml/2006/main" w="25400">
              <a:solidFill>
                <a:srgbClr val="F4A26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'6-Monte Carlo'!$B$23:$B$122</f>
            </numRef>
          </cat>
          <val>
            <numRef>
              <f>'6-Monte Carlo'!$D$23:$D$122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Probability (%)</a:t>
                </a:r>
              </a:p>
            </rich>
          </tx>
        </title>
        <numFmt formatCode="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ax val="5.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(d)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44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14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s">
        <v>0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n"/>
    </row>
    <row r="5">
      <c r="A5" s="4" t="s">
        <v>5</v>
      </c>
      <c r="B5" s="42" t="n">
        <v>1</v>
      </c>
      <c r="C5" s="43" t="s">
        <v>6</v>
      </c>
    </row>
    <row r="6">
      <c r="A6" s="4" t="s">
        <v>7</v>
      </c>
      <c r="B6" s="42" t="n">
        <v>0</v>
      </c>
      <c r="C6" s="43" t="s">
        <v>8</v>
      </c>
    </row>
    <row r="7">
      <c r="A7" s="6" t="s">
        <v>9</v>
      </c>
      <c r="B7" s="42" t="n">
        <v>1</v>
      </c>
      <c r="C7" s="43" t="s">
        <v>10</v>
      </c>
    </row>
    <row r="8">
      <c r="A8" s="4" t="s">
        <v>11</v>
      </c>
      <c r="B8" s="42" t="n">
        <v>0.8</v>
      </c>
      <c r="C8" s="43" t="s">
        <v>12</v>
      </c>
    </row>
    <row r="9">
      <c r="A9" s="4" t="s">
        <v>13</v>
      </c>
      <c r="B9" s="44" t="n">
        <v>250</v>
      </c>
      <c r="C9" s="43" t="s">
        <v>14</v>
      </c>
    </row>
    <row r="10">
      <c r="A10" s="4" t="s">
        <v>15</v>
      </c>
      <c r="B10" s="45" t="s">
        <v>16</v>
      </c>
      <c r="C10" s="43" t="s">
        <v>17</v>
      </c>
    </row>
    <row r="12">
      <c r="A12" s="2" t="s">
        <v>18</v>
      </c>
    </row>
    <row r="13">
      <c r="A13" s="9" t="s">
        <v>19</v>
      </c>
      <c r="B13" s="9" t="s">
        <v>20</v>
      </c>
      <c r="C13" s="9" t="s">
        <v>21</v>
      </c>
      <c r="D13" s="9" t="s">
        <v>22</v>
      </c>
      <c r="E13" s="9" t="s">
        <v>23</v>
      </c>
    </row>
    <row r="14">
      <c r="A14" s="4" t="s">
        <v>24</v>
      </c>
      <c r="B14" s="46" t="n">
        <v>0</v>
      </c>
      <c r="C14" s="11">
        <f>IFERROR($B$7*$B$8,"")</f>
      </c>
      <c r="D14" s="47" t="n">
        <v>0</v>
      </c>
      <c r="E14" s="48" t="n">
        <v>0</v>
      </c>
    </row>
    <row r="15">
      <c r="A15" s="4" t="s">
        <v>25</v>
      </c>
      <c r="B15" s="10" t="n">
        <v>56</v>
      </c>
      <c r="C15" s="11">
        <f>IFERROR($B$7*$B$8,"")</f>
      </c>
      <c r="D15" s="49" t="n">
        <v>44.8</v>
      </c>
      <c r="E15" s="50" t="n">
        <v>11200</v>
      </c>
    </row>
    <row r="16">
      <c r="A16" s="14" t="s">
        <v>26</v>
      </c>
      <c r="B16" s="51" t="n">
        <v>56</v>
      </c>
      <c r="C16" s="16">
        <f>IFERROR($B$7*$B$8,"")</f>
      </c>
      <c r="D16" s="52" t="n">
        <v>44.8</v>
      </c>
      <c r="E16" s="53" t="n">
        <v>11200</v>
      </c>
    </row>
    <row r="18">
      <c r="A18" s="2" t="s">
        <v>27</v>
      </c>
    </row>
    <row r="19">
      <c r="A19" s="9" t="s">
        <v>28</v>
      </c>
      <c r="B19" s="9" t="s">
        <v>29</v>
      </c>
      <c r="C19" s="9" t="s">
        <v>30</v>
      </c>
      <c r="D19" s="9" t="s">
        <v>31</v>
      </c>
      <c r="E19" s="9" t="s">
        <v>32</v>
      </c>
    </row>
    <row r="20">
      <c r="A20" s="54" t="s">
        <v>33</v>
      </c>
      <c r="B20" s="55" t="n">
        <v>35.8</v>
      </c>
      <c r="C20" s="56" t="n">
        <v>8950</v>
      </c>
      <c r="D20" s="55" t="n">
        <v>2.2</v>
      </c>
      <c r="E20" s="18" t="n"/>
    </row>
    <row r="21">
      <c r="A21" s="54" t="s">
        <v>34</v>
      </c>
      <c r="B21" s="57" t="n">
        <v>44.8</v>
      </c>
      <c r="C21" s="58" t="n">
        <v>11200</v>
      </c>
      <c r="D21" s="57" t="n">
        <v>2.7</v>
      </c>
      <c r="E21" s="19" t="n"/>
    </row>
    <row r="22">
      <c r="A22" s="59" t="s">
        <v>35</v>
      </c>
      <c r="B22" s="57" t="n">
        <v>56</v>
      </c>
      <c r="C22" s="58" t="n">
        <v>14000</v>
      </c>
      <c r="D22" s="57" t="n">
        <v>3.4</v>
      </c>
      <c r="E22" s="18" t="n"/>
    </row>
    <row r="23">
      <c r="A23" s="54" t="s">
        <v>36</v>
      </c>
      <c r="B23" s="55" t="n">
        <v>67.2</v>
      </c>
      <c r="C23" s="56" t="n">
        <v>16800</v>
      </c>
      <c r="D23" s="55" t="n">
        <v>4.1</v>
      </c>
    </row>
    <row r="24">
      <c r="A24" s="2" t="s">
        <v>37</v>
      </c>
    </row>
    <row r="25">
      <c r="A25" s="60" t="s">
        <v>38</v>
      </c>
    </row>
    <row r="26">
      <c r="A26" s="60" t="s">
        <v>39</v>
      </c>
    </row>
    <row r="27">
      <c r="A27" s="60" t="s">
        <v>40</v>
      </c>
    </row>
    <row r="28">
      <c r="A28" s="60" t="s">
        <v>41</v>
      </c>
    </row>
    <row r="29">
      <c r="A29" s="60" t="n"/>
    </row>
  </sheetData>
  <mergeCells count="10">
    <mergeCell ref="A12:H12"/>
    <mergeCell ref="A18:H18"/>
    <mergeCell ref="A3:H3"/>
    <mergeCell ref="A26:H26"/>
    <mergeCell ref="A29:H29"/>
    <mergeCell ref="A25:H25"/>
    <mergeCell ref="A24:H24"/>
    <mergeCell ref="A28:H28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4" customWidth="1" min="7" max="7"/>
    <col width="40" customWidth="1" min="8" max="8"/>
    <col width="14" customWidth="1" min="9" max="9"/>
    <col width="14" customWidth="1" min="10" max="10"/>
  </cols>
  <sheetData>
    <row r="1" ht="28" customHeight="1">
      <c r="A1" s="1" t="s">
        <v>42</v>
      </c>
    </row>
    <row r="3">
      <c r="A3" s="2" t="s">
        <v>43</v>
      </c>
    </row>
    <row r="4">
      <c r="A4" s="4" t="s">
        <v>44</v>
      </c>
      <c r="B4" s="45" t="s">
        <v>45</v>
      </c>
    </row>
    <row r="5">
      <c r="A5" s="4" t="s">
        <v>46</v>
      </c>
      <c r="B5" s="45" t="n">
        <v>1</v>
      </c>
    </row>
    <row r="6">
      <c r="A6" s="4" t="s">
        <v>47</v>
      </c>
      <c r="B6" s="45" t="n">
        <v>1500</v>
      </c>
    </row>
    <row r="7">
      <c r="A7" s="4" t="s">
        <v>48</v>
      </c>
      <c r="B7" s="45" t="s">
        <v>49</v>
      </c>
    </row>
    <row r="8">
      <c r="A8" s="4" t="s">
        <v>50</v>
      </c>
      <c r="B8" s="42" t="n">
        <v>1.35</v>
      </c>
    </row>
    <row r="9">
      <c r="A9" s="4" t="s">
        <v>51</v>
      </c>
      <c r="B9" s="42" t="n">
        <v>0.12</v>
      </c>
    </row>
    <row r="10">
      <c r="A10" s="4" t="s">
        <v>52</v>
      </c>
      <c r="B10" s="42" t="n">
        <v>0.87</v>
      </c>
    </row>
    <row r="11">
      <c r="A11" s="4" t="s">
        <v>53</v>
      </c>
      <c r="B11" s="45" t="s">
        <v>54</v>
      </c>
    </row>
    <row r="12">
      <c r="A12" s="4" t="s">
        <v>55</v>
      </c>
      <c r="B12" s="42" t="n">
        <v>0.8</v>
      </c>
    </row>
    <row r="13">
      <c r="A13" s="4" t="s">
        <v>56</v>
      </c>
      <c r="B13" s="42" t="n">
        <v>1.25</v>
      </c>
    </row>
    <row r="15">
      <c r="A15" s="2" t="s">
        <v>57</v>
      </c>
    </row>
    <row r="16">
      <c r="A16" s="9" t="s">
        <v>58</v>
      </c>
      <c r="B16" s="9" t="s">
        <v>59</v>
      </c>
      <c r="C16" s="9" t="s">
        <v>60</v>
      </c>
      <c r="D16" s="9" t="s">
        <v>61</v>
      </c>
      <c r="E16" s="9" t="s">
        <v>62</v>
      </c>
      <c r="F16" s="9" t="s">
        <v>63</v>
      </c>
      <c r="G16" s="9" t="s">
        <v>64</v>
      </c>
      <c r="H16" s="9" t="s">
        <v>65</v>
      </c>
    </row>
    <row r="17">
      <c r="A17" s="4" t="s">
        <v>66</v>
      </c>
      <c r="B17" s="10" t="n">
        <v>0.5</v>
      </c>
      <c r="C17" s="10" t="n">
        <v>0.5</v>
      </c>
      <c r="D17" s="21" t="n">
        <v>12</v>
      </c>
      <c r="E17" s="21" t="n">
        <v>22</v>
      </c>
      <c r="F17" s="21" t="n">
        <v>36</v>
      </c>
      <c r="G17" s="4" t="s">
        <v>16</v>
      </c>
      <c r="H17" s="4" t="s">
        <v>67</v>
      </c>
    </row>
    <row r="18">
      <c r="A18" s="4" t="s">
        <v>68</v>
      </c>
      <c r="B18" s="10" t="n">
        <v>1</v>
      </c>
      <c r="C18" s="10" t="n">
        <v>1</v>
      </c>
      <c r="D18" s="21" t="n">
        <v>25</v>
      </c>
      <c r="E18" s="21" t="n">
        <v>45</v>
      </c>
      <c r="F18" s="21" t="n">
        <v>72</v>
      </c>
      <c r="G18" s="4" t="s">
        <v>16</v>
      </c>
      <c r="H18" s="4" t="s">
        <v>69</v>
      </c>
    </row>
    <row r="19">
      <c r="A19" s="4" t="s">
        <v>70</v>
      </c>
      <c r="B19" s="10" t="n">
        <v>2</v>
      </c>
      <c r="C19" s="10" t="n">
        <v>2</v>
      </c>
      <c r="D19" s="21" t="n">
        <v>60</v>
      </c>
      <c r="E19" s="21" t="n">
        <v>100</v>
      </c>
      <c r="F19" s="21" t="n">
        <v>160</v>
      </c>
      <c r="G19" s="4" t="s">
        <v>16</v>
      </c>
      <c r="H19" s="4" t="s">
        <v>71</v>
      </c>
    </row>
    <row r="20">
      <c r="A20" s="4" t="s">
        <v>72</v>
      </c>
      <c r="B20" s="10" t="n">
        <v>5</v>
      </c>
      <c r="C20" s="10" t="n">
        <v>3</v>
      </c>
      <c r="D20" s="21" t="n">
        <v>155</v>
      </c>
      <c r="E20" s="21" t="n">
        <v>250</v>
      </c>
      <c r="F20" s="21" t="n">
        <v>410</v>
      </c>
      <c r="G20" s="4" t="s">
        <v>16</v>
      </c>
      <c r="H20" s="4" t="s">
        <v>73</v>
      </c>
    </row>
    <row r="21">
      <c r="A21" s="4" t="s">
        <v>74</v>
      </c>
      <c r="B21" s="10" t="n">
        <v>8</v>
      </c>
      <c r="C21" s="10" t="n">
        <v>5</v>
      </c>
      <c r="D21" s="21" t="n">
        <v>275</v>
      </c>
      <c r="E21" s="21" t="n">
        <v>440</v>
      </c>
      <c r="F21" s="21" t="n">
        <v>720</v>
      </c>
      <c r="G21" s="4" t="s">
        <v>16</v>
      </c>
      <c r="H21" s="4" t="s">
        <v>75</v>
      </c>
    </row>
    <row r="22">
      <c r="A22" s="22" t="s">
        <v>76</v>
      </c>
    </row>
    <row r="24">
      <c r="A24" s="2" t="s">
        <v>77</v>
      </c>
    </row>
    <row r="25">
      <c r="A25" s="9" t="s">
        <v>78</v>
      </c>
      <c r="B25" s="9" t="s">
        <v>79</v>
      </c>
      <c r="C25" s="9" t="s">
        <v>80</v>
      </c>
      <c r="D25" s="9" t="s">
        <v>81</v>
      </c>
      <c r="E25" s="9" t="s">
        <v>82</v>
      </c>
    </row>
    <row r="26">
      <c r="A26" s="21" t="n">
        <v>1</v>
      </c>
      <c r="B26" s="10" t="n">
        <v>20</v>
      </c>
      <c r="C26" s="23">
        <f>IFERROR(B26*VLOOKUP("M",$A$17:$E$21,4,FALSE)*B10,"")</f>
      </c>
      <c r="D26" s="23">
        <f>IFERROR(B26*VLOOKUP("M",$A$17:$F$21,6,FALSE)*B10*1.15,"")</f>
      </c>
      <c r="E26" s="4" t="n"/>
    </row>
    <row r="27">
      <c r="A27" s="21" t="n">
        <v>2</v>
      </c>
      <c r="B27" s="10" t="n">
        <v>20</v>
      </c>
      <c r="C27" s="23">
        <f>IFERROR(B27*VLOOKUP("M",$A$17:$E$21,4,FALSE)*B10,"")</f>
      </c>
      <c r="D27" s="23">
        <f>IFERROR(B27*VLOOKUP("M",$A$17:$F$21,6,FALSE)*B10*1.15,"")</f>
      </c>
      <c r="E27" s="4" t="n"/>
    </row>
    <row r="28">
      <c r="A28" s="21" t="n">
        <v>3</v>
      </c>
      <c r="B28" s="10" t="n">
        <v>20</v>
      </c>
      <c r="C28" s="23">
        <f>IFERROR(B28*VLOOKUP("M",$A$17:$E$21,4,FALSE)*B10,"")</f>
      </c>
      <c r="D28" s="23">
        <f>IFERROR(B28*VLOOKUP("M",$A$17:$F$21,6,FALSE)*B10*1.15,"")</f>
      </c>
      <c r="E28" s="4" t="n"/>
    </row>
    <row r="29">
      <c r="A29" s="21" t="n">
        <v>4</v>
      </c>
      <c r="B29" s="10" t="n">
        <v>20</v>
      </c>
      <c r="C29" s="23">
        <f>IFERROR(B29*VLOOKUP("M",$A$17:$E$21,4,FALSE)*B10,"")</f>
      </c>
      <c r="D29" s="23">
        <f>IFERROR(B29*VLOOKUP("M",$A$17:$F$21,6,FALSE)*B10*1.15,"")</f>
      </c>
      <c r="E29" s="4" t="n"/>
    </row>
    <row r="30">
      <c r="A30" s="21" t="n">
        <v>5</v>
      </c>
      <c r="B30" s="10" t="n">
        <v>20</v>
      </c>
      <c r="C30" s="23">
        <f>IFERROR(B30*VLOOKUP("M",$A$17:$E$21,4,FALSE)*B10,"")</f>
      </c>
      <c r="D30" s="23">
        <f>IFERROR(B30*VLOOKUP("M",$A$17:$F$21,6,FALSE)*B10*1.15,"")</f>
      </c>
      <c r="E30" s="4" t="n"/>
    </row>
    <row r="31">
      <c r="A31" s="21" t="n">
        <v>6</v>
      </c>
      <c r="B31" s="10" t="n">
        <v>20</v>
      </c>
      <c r="C31" s="23">
        <f>IFERROR(B31*VLOOKUP("M",$A$17:$E$21,4,FALSE)*B10,"")</f>
      </c>
      <c r="D31" s="23">
        <f>IFERROR(B31*VLOOKUP("M",$A$17:$F$21,6,FALSE)*B10*1.15,"")</f>
      </c>
      <c r="E31" s="4" t="n"/>
    </row>
    <row r="32">
      <c r="A32" s="21" t="n">
        <v>7</v>
      </c>
      <c r="B32" s="10" t="n">
        <v>20</v>
      </c>
      <c r="C32" s="23">
        <f>IFERROR(B32*VLOOKUP("M",$A$17:$E$21,4,FALSE)*B10,"")</f>
      </c>
      <c r="D32" s="23">
        <f>IFERROR(B32*VLOOKUP("M",$A$17:$F$21,6,FALSE)*B10*1.15,"")</f>
      </c>
      <c r="E32" s="4" t="n"/>
    </row>
    <row r="33">
      <c r="A33" s="21" t="n">
        <v>8</v>
      </c>
      <c r="B33" s="10" t="n">
        <v>20</v>
      </c>
      <c r="C33" s="23">
        <f>IFERROR(B33*VLOOKUP("M",$A$17:$E$21,4,FALSE)*B10,"")</f>
      </c>
      <c r="D33" s="23">
        <f>IFERROR(B33*VLOOKUP("M",$A$17:$F$21,6,FALSE)*B10*1.15,"")</f>
      </c>
      <c r="E33" s="4" t="n"/>
    </row>
    <row r="34">
      <c r="B34" s="61" t="n">
        <v>20</v>
      </c>
    </row>
    <row r="35">
      <c r="B35" s="61" t="n">
        <v>20</v>
      </c>
    </row>
  </sheetData>
  <mergeCells count="5">
    <mergeCell ref="A1:J1"/>
    <mergeCell ref="A22:J22"/>
    <mergeCell ref="A3:J3"/>
    <mergeCell ref="A15:J15"/>
    <mergeCell ref="A24:J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38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30" customWidth="1" min="15" max="15"/>
  </cols>
  <sheetData>
    <row r="1" ht="28" customHeight="1">
      <c r="A1" s="1" t="s">
        <v>83</v>
      </c>
    </row>
    <row r="2">
      <c r="A2" s="9" t="s">
        <v>84</v>
      </c>
      <c r="B2" s="9" t="s">
        <v>85</v>
      </c>
      <c r="C2" s="9" t="s">
        <v>86</v>
      </c>
      <c r="D2" s="9" t="s">
        <v>87</v>
      </c>
      <c r="E2" s="9" t="s">
        <v>58</v>
      </c>
      <c r="F2" s="9" t="s">
        <v>59</v>
      </c>
      <c r="G2" s="9" t="s">
        <v>60</v>
      </c>
      <c r="H2" s="9" t="s">
        <v>88</v>
      </c>
      <c r="I2" s="9" t="s">
        <v>89</v>
      </c>
      <c r="J2" s="9" t="s">
        <v>90</v>
      </c>
      <c r="K2" s="9" t="s">
        <v>91</v>
      </c>
      <c r="L2" s="9" t="s">
        <v>92</v>
      </c>
      <c r="M2" s="9" t="s">
        <v>93</v>
      </c>
      <c r="N2" s="9" t="s">
        <v>78</v>
      </c>
      <c r="O2" s="9" t="s">
        <v>94</v>
      </c>
    </row>
    <row r="3">
      <c r="A3" s="62" t="s">
        <v>95</v>
      </c>
      <c r="B3" s="62" t="s">
        <v>96</v>
      </c>
      <c r="C3" s="62" t="s">
        <v>97</v>
      </c>
      <c r="D3" s="62" t="s">
        <v>98</v>
      </c>
      <c r="E3" s="63" t="s">
        <v>68</v>
      </c>
      <c r="F3" s="64" t="n">
        <v>1</v>
      </c>
      <c r="G3" s="64" t="n">
        <v>1</v>
      </c>
      <c r="H3" s="65" t="n">
        <v>25</v>
      </c>
      <c r="I3" s="65" t="n">
        <v>45</v>
      </c>
      <c r="J3" s="65" t="n">
        <v>72</v>
      </c>
      <c r="K3" s="65" t="n">
        <v>18</v>
      </c>
      <c r="L3" s="65" t="n">
        <v>39</v>
      </c>
      <c r="M3" s="65" t="n">
        <v>72</v>
      </c>
      <c r="N3" s="66" t="n">
        <v>1</v>
      </c>
      <c r="O3" s="62" t="s">
        <v>99</v>
      </c>
    </row>
    <row r="4">
      <c r="A4" s="62" t="s">
        <v>100</v>
      </c>
      <c r="B4" s="62" t="s">
        <v>101</v>
      </c>
      <c r="C4" s="62" t="s">
        <v>97</v>
      </c>
      <c r="D4" s="62" t="s">
        <v>102</v>
      </c>
      <c r="E4" s="63" t="s">
        <v>66</v>
      </c>
      <c r="F4" s="64" t="n">
        <v>0.5</v>
      </c>
      <c r="G4" s="64" t="n">
        <v>0.5</v>
      </c>
      <c r="H4" s="65" t="n">
        <v>12</v>
      </c>
      <c r="I4" s="65" t="n">
        <v>22</v>
      </c>
      <c r="J4" s="65" t="n">
        <v>36</v>
      </c>
      <c r="K4" s="65" t="n">
        <v>4</v>
      </c>
      <c r="L4" s="65" t="n">
        <v>10</v>
      </c>
      <c r="M4" s="65" t="n">
        <v>18</v>
      </c>
      <c r="N4" s="66" t="n">
        <v>1</v>
      </c>
      <c r="O4" s="62" t="s">
        <v>103</v>
      </c>
    </row>
    <row r="5">
      <c r="A5" s="62" t="s">
        <v>104</v>
      </c>
      <c r="B5" s="62" t="s">
        <v>105</v>
      </c>
      <c r="C5" s="62" t="s">
        <v>97</v>
      </c>
      <c r="D5" s="62" t="s">
        <v>106</v>
      </c>
      <c r="E5" s="63" t="s">
        <v>68</v>
      </c>
      <c r="F5" s="64" t="n">
        <v>1</v>
      </c>
      <c r="G5" s="64" t="n">
        <v>1</v>
      </c>
      <c r="H5" s="65" t="n">
        <v>25</v>
      </c>
      <c r="I5" s="65" t="n">
        <v>45</v>
      </c>
      <c r="J5" s="65" t="n">
        <v>72</v>
      </c>
      <c r="K5" s="65" t="n">
        <v>18</v>
      </c>
      <c r="L5" s="65" t="n">
        <v>39</v>
      </c>
      <c r="M5" s="65" t="n">
        <v>72</v>
      </c>
      <c r="N5" s="66" t="n">
        <v>1</v>
      </c>
      <c r="O5" s="62" t="s">
        <v>107</v>
      </c>
    </row>
    <row r="6">
      <c r="A6" s="62" t="s">
        <v>108</v>
      </c>
      <c r="B6" s="62" t="s">
        <v>109</v>
      </c>
      <c r="C6" s="62" t="s">
        <v>110</v>
      </c>
      <c r="D6" s="62" t="s">
        <v>111</v>
      </c>
      <c r="E6" s="63" t="s">
        <v>70</v>
      </c>
      <c r="F6" s="64" t="n">
        <v>2</v>
      </c>
      <c r="G6" s="64" t="n">
        <v>2</v>
      </c>
      <c r="H6" s="65" t="n">
        <v>60</v>
      </c>
      <c r="I6" s="65" t="n">
        <v>100</v>
      </c>
      <c r="J6" s="65" t="n">
        <v>160</v>
      </c>
      <c r="K6" s="65" t="n">
        <v>89</v>
      </c>
      <c r="L6" s="65" t="n">
        <v>174</v>
      </c>
      <c r="M6" s="65" t="n">
        <v>320</v>
      </c>
      <c r="N6" s="66" t="n">
        <v>1</v>
      </c>
      <c r="O6" s="62" t="s">
        <v>112</v>
      </c>
    </row>
    <row r="7">
      <c r="A7" s="62" t="s">
        <v>113</v>
      </c>
      <c r="B7" s="62" t="s">
        <v>114</v>
      </c>
      <c r="C7" s="62" t="s">
        <v>110</v>
      </c>
      <c r="D7" s="62" t="s">
        <v>115</v>
      </c>
      <c r="E7" s="63" t="s">
        <v>70</v>
      </c>
      <c r="F7" s="64" t="n">
        <v>2</v>
      </c>
      <c r="G7" s="64" t="n">
        <v>2</v>
      </c>
      <c r="H7" s="65" t="n">
        <v>60</v>
      </c>
      <c r="I7" s="65" t="n">
        <v>100</v>
      </c>
      <c r="J7" s="65" t="n">
        <v>160</v>
      </c>
      <c r="K7" s="65" t="n">
        <v>89</v>
      </c>
      <c r="L7" s="65" t="n">
        <v>174</v>
      </c>
      <c r="M7" s="65" t="n">
        <v>320</v>
      </c>
      <c r="N7" s="66" t="n">
        <v>1</v>
      </c>
      <c r="O7" s="62" t="s">
        <v>116</v>
      </c>
    </row>
    <row r="8">
      <c r="A8" s="62" t="s">
        <v>117</v>
      </c>
      <c r="B8" s="62" t="s">
        <v>118</v>
      </c>
      <c r="C8" s="62" t="s">
        <v>110</v>
      </c>
      <c r="D8" s="62" t="s">
        <v>119</v>
      </c>
      <c r="E8" s="63" t="s">
        <v>70</v>
      </c>
      <c r="F8" s="64" t="n">
        <v>2</v>
      </c>
      <c r="G8" s="64" t="n">
        <v>2</v>
      </c>
      <c r="H8" s="65" t="n">
        <v>60</v>
      </c>
      <c r="I8" s="65" t="n">
        <v>100</v>
      </c>
      <c r="J8" s="65" t="n">
        <v>160</v>
      </c>
      <c r="K8" s="65" t="n">
        <v>89</v>
      </c>
      <c r="L8" s="65" t="n">
        <v>174</v>
      </c>
      <c r="M8" s="65" t="n">
        <v>320</v>
      </c>
      <c r="N8" s="66" t="n">
        <v>2</v>
      </c>
      <c r="O8" s="62" t="s">
        <v>120</v>
      </c>
    </row>
    <row r="9">
      <c r="A9" s="62" t="s">
        <v>121</v>
      </c>
      <c r="B9" s="62" t="s">
        <v>122</v>
      </c>
      <c r="C9" s="62" t="s">
        <v>110</v>
      </c>
      <c r="D9" s="62" t="s">
        <v>123</v>
      </c>
      <c r="E9" s="63" t="s">
        <v>68</v>
      </c>
      <c r="F9" s="64" t="n">
        <v>1</v>
      </c>
      <c r="G9" s="64" t="n">
        <v>1</v>
      </c>
      <c r="H9" s="65" t="n">
        <v>25</v>
      </c>
      <c r="I9" s="65" t="n">
        <v>45</v>
      </c>
      <c r="J9" s="65" t="n">
        <v>72</v>
      </c>
      <c r="K9" s="65" t="n">
        <v>18</v>
      </c>
      <c r="L9" s="65" t="n">
        <v>39</v>
      </c>
      <c r="M9" s="65" t="n">
        <v>72</v>
      </c>
      <c r="N9" s="66" t="n">
        <v>2</v>
      </c>
      <c r="O9" s="62" t="s">
        <v>124</v>
      </c>
    </row>
    <row r="10">
      <c r="A10" s="62" t="s">
        <v>125</v>
      </c>
      <c r="B10" s="62" t="s">
        <v>126</v>
      </c>
      <c r="C10" s="62" t="s">
        <v>110</v>
      </c>
      <c r="D10" s="62" t="s">
        <v>127</v>
      </c>
      <c r="E10" s="63" t="s">
        <v>68</v>
      </c>
      <c r="F10" s="64" t="n">
        <v>1</v>
      </c>
      <c r="G10" s="64" t="n">
        <v>1</v>
      </c>
      <c r="H10" s="65" t="n">
        <v>25</v>
      </c>
      <c r="I10" s="65" t="n">
        <v>45</v>
      </c>
      <c r="J10" s="65" t="n">
        <v>72</v>
      </c>
      <c r="K10" s="65" t="n">
        <v>18</v>
      </c>
      <c r="L10" s="65" t="n">
        <v>39</v>
      </c>
      <c r="M10" s="65" t="n">
        <v>72</v>
      </c>
      <c r="N10" s="66" t="n">
        <v>2</v>
      </c>
      <c r="O10" s="62" t="s">
        <v>128</v>
      </c>
    </row>
    <row r="11">
      <c r="A11" s="62" t="s">
        <v>129</v>
      </c>
      <c r="B11" s="62" t="s">
        <v>130</v>
      </c>
      <c r="C11" s="62" t="s">
        <v>110</v>
      </c>
      <c r="D11" s="62" t="s">
        <v>131</v>
      </c>
      <c r="E11" s="63" t="s">
        <v>70</v>
      </c>
      <c r="F11" s="64" t="n">
        <v>2</v>
      </c>
      <c r="G11" s="64" t="n">
        <v>2</v>
      </c>
      <c r="H11" s="65" t="n">
        <v>60</v>
      </c>
      <c r="I11" s="65" t="n">
        <v>100</v>
      </c>
      <c r="J11" s="65" t="n">
        <v>160</v>
      </c>
      <c r="K11" s="65" t="n">
        <v>89</v>
      </c>
      <c r="L11" s="65" t="n">
        <v>174</v>
      </c>
      <c r="M11" s="65" t="n">
        <v>320</v>
      </c>
      <c r="N11" s="66" t="n">
        <v>2</v>
      </c>
      <c r="O11" s="62" t="s">
        <v>132</v>
      </c>
    </row>
    <row r="12">
      <c r="A12" s="62" t="s">
        <v>133</v>
      </c>
      <c r="B12" s="62" t="s">
        <v>134</v>
      </c>
      <c r="C12" s="62" t="s">
        <v>135</v>
      </c>
      <c r="D12" s="62" t="s">
        <v>136</v>
      </c>
      <c r="E12" s="63" t="s">
        <v>68</v>
      </c>
      <c r="F12" s="64" t="n">
        <v>1</v>
      </c>
      <c r="G12" s="64" t="n">
        <v>1</v>
      </c>
      <c r="H12" s="65" t="n">
        <v>25</v>
      </c>
      <c r="I12" s="65" t="n">
        <v>45</v>
      </c>
      <c r="J12" s="65" t="n">
        <v>72</v>
      </c>
      <c r="K12" s="65" t="n">
        <v>18</v>
      </c>
      <c r="L12" s="65" t="n">
        <v>39</v>
      </c>
      <c r="M12" s="65" t="n">
        <v>72</v>
      </c>
      <c r="N12" s="66" t="n">
        <v>2</v>
      </c>
      <c r="O12" s="62" t="s">
        <v>137</v>
      </c>
    </row>
    <row r="13">
      <c r="A13" s="62" t="s">
        <v>138</v>
      </c>
      <c r="B13" s="62" t="s">
        <v>139</v>
      </c>
      <c r="C13" s="62" t="s">
        <v>135</v>
      </c>
      <c r="D13" s="62" t="s">
        <v>140</v>
      </c>
      <c r="E13" s="63" t="s">
        <v>68</v>
      </c>
      <c r="F13" s="64" t="n">
        <v>1</v>
      </c>
      <c r="G13" s="64" t="n">
        <v>1</v>
      </c>
      <c r="H13" s="65" t="n">
        <v>25</v>
      </c>
      <c r="I13" s="65" t="n">
        <v>45</v>
      </c>
      <c r="J13" s="65" t="n">
        <v>72</v>
      </c>
      <c r="K13" s="65" t="n">
        <v>18</v>
      </c>
      <c r="L13" s="65" t="n">
        <v>39</v>
      </c>
      <c r="M13" s="65" t="n">
        <v>72</v>
      </c>
      <c r="N13" s="66" t="n">
        <v>2</v>
      </c>
      <c r="O13" s="62" t="s">
        <v>141</v>
      </c>
    </row>
    <row r="14">
      <c r="A14" s="62" t="s">
        <v>142</v>
      </c>
      <c r="B14" s="62" t="s">
        <v>143</v>
      </c>
      <c r="C14" s="62" t="s">
        <v>135</v>
      </c>
      <c r="D14" s="62" t="s">
        <v>144</v>
      </c>
      <c r="E14" s="63" t="s">
        <v>70</v>
      </c>
      <c r="F14" s="64" t="n">
        <v>2</v>
      </c>
      <c r="G14" s="64" t="n">
        <v>2</v>
      </c>
      <c r="H14" s="65" t="n">
        <v>60</v>
      </c>
      <c r="I14" s="65" t="n">
        <v>100</v>
      </c>
      <c r="J14" s="65" t="n">
        <v>160</v>
      </c>
      <c r="K14" s="65" t="n">
        <v>89</v>
      </c>
      <c r="L14" s="65" t="n">
        <v>174</v>
      </c>
      <c r="M14" s="65" t="n">
        <v>320</v>
      </c>
      <c r="N14" s="66" t="n">
        <v>3</v>
      </c>
      <c r="O14" s="62" t="s">
        <v>145</v>
      </c>
    </row>
    <row r="15">
      <c r="A15" s="62" t="s">
        <v>146</v>
      </c>
      <c r="B15" s="62" t="s">
        <v>147</v>
      </c>
      <c r="C15" s="62" t="s">
        <v>135</v>
      </c>
      <c r="D15" s="62" t="s">
        <v>148</v>
      </c>
      <c r="E15" s="63" t="s">
        <v>66</v>
      </c>
      <c r="F15" s="64" t="n">
        <v>0.5</v>
      </c>
      <c r="G15" s="64" t="n">
        <v>0.5</v>
      </c>
      <c r="H15" s="65" t="n">
        <v>12</v>
      </c>
      <c r="I15" s="65" t="n">
        <v>22</v>
      </c>
      <c r="J15" s="65" t="n">
        <v>36</v>
      </c>
      <c r="K15" s="65" t="n">
        <v>4</v>
      </c>
      <c r="L15" s="65" t="n">
        <v>10</v>
      </c>
      <c r="M15" s="65" t="n">
        <v>18</v>
      </c>
      <c r="N15" s="66" t="n">
        <v>3</v>
      </c>
      <c r="O15" s="62" t="s">
        <v>149</v>
      </c>
    </row>
    <row r="16">
      <c r="A16" s="62" t="s">
        <v>150</v>
      </c>
      <c r="B16" s="62" t="s">
        <v>151</v>
      </c>
      <c r="C16" s="62" t="s">
        <v>135</v>
      </c>
      <c r="D16" s="62" t="s">
        <v>152</v>
      </c>
      <c r="E16" s="63" t="s">
        <v>66</v>
      </c>
      <c r="F16" s="64" t="n">
        <v>0.5</v>
      </c>
      <c r="G16" s="64" t="n">
        <v>0.5</v>
      </c>
      <c r="H16" s="65" t="n">
        <v>12</v>
      </c>
      <c r="I16" s="65" t="n">
        <v>22</v>
      </c>
      <c r="J16" s="65" t="n">
        <v>36</v>
      </c>
      <c r="K16" s="65" t="n">
        <v>4</v>
      </c>
      <c r="L16" s="65" t="n">
        <v>10</v>
      </c>
      <c r="M16" s="65" t="n">
        <v>18</v>
      </c>
      <c r="N16" s="66" t="n">
        <v>3</v>
      </c>
      <c r="O16" s="62" t="s">
        <v>153</v>
      </c>
    </row>
    <row r="17">
      <c r="A17" s="62" t="s">
        <v>154</v>
      </c>
      <c r="B17" s="62" t="s">
        <v>155</v>
      </c>
      <c r="C17" s="62" t="s">
        <v>135</v>
      </c>
      <c r="D17" s="62" t="s">
        <v>156</v>
      </c>
      <c r="E17" s="63" t="s">
        <v>70</v>
      </c>
      <c r="F17" s="64" t="n">
        <v>2</v>
      </c>
      <c r="G17" s="64" t="n">
        <v>2</v>
      </c>
      <c r="H17" s="65" t="n">
        <v>60</v>
      </c>
      <c r="I17" s="65" t="n">
        <v>100</v>
      </c>
      <c r="J17" s="65" t="n">
        <v>160</v>
      </c>
      <c r="K17" s="65" t="n">
        <v>89</v>
      </c>
      <c r="L17" s="65" t="n">
        <v>174</v>
      </c>
      <c r="M17" s="65" t="n">
        <v>320</v>
      </c>
      <c r="N17" s="66" t="n">
        <v>3</v>
      </c>
      <c r="O17" s="62" t="s">
        <v>157</v>
      </c>
    </row>
    <row r="18">
      <c r="A18" s="62" t="s">
        <v>158</v>
      </c>
      <c r="B18" s="62" t="s">
        <v>159</v>
      </c>
      <c r="C18" s="62" t="s">
        <v>160</v>
      </c>
      <c r="D18" s="62" t="s">
        <v>161</v>
      </c>
      <c r="E18" s="63" t="s">
        <v>66</v>
      </c>
      <c r="F18" s="64" t="n">
        <v>0.5</v>
      </c>
      <c r="G18" s="64" t="n">
        <v>0.5</v>
      </c>
      <c r="H18" s="65" t="n">
        <v>12</v>
      </c>
      <c r="I18" s="65" t="n">
        <v>22</v>
      </c>
      <c r="J18" s="65" t="n">
        <v>36</v>
      </c>
      <c r="K18" s="65" t="n">
        <v>4</v>
      </c>
      <c r="L18" s="65" t="n">
        <v>10</v>
      </c>
      <c r="M18" s="65" t="n">
        <v>18</v>
      </c>
      <c r="N18" s="66" t="n">
        <v>3</v>
      </c>
      <c r="O18" s="62" t="s">
        <v>162</v>
      </c>
    </row>
    <row r="19">
      <c r="A19" s="62" t="s">
        <v>163</v>
      </c>
      <c r="B19" s="62" t="s">
        <v>164</v>
      </c>
      <c r="C19" s="62" t="s">
        <v>160</v>
      </c>
      <c r="D19" s="62" t="s">
        <v>165</v>
      </c>
      <c r="E19" s="63" t="s">
        <v>66</v>
      </c>
      <c r="F19" s="64" t="n">
        <v>0.5</v>
      </c>
      <c r="G19" s="64" t="n">
        <v>0.5</v>
      </c>
      <c r="H19" s="65" t="n">
        <v>12</v>
      </c>
      <c r="I19" s="65" t="n">
        <v>22</v>
      </c>
      <c r="J19" s="65" t="n">
        <v>36</v>
      </c>
      <c r="K19" s="65" t="n">
        <v>4</v>
      </c>
      <c r="L19" s="65" t="n">
        <v>10</v>
      </c>
      <c r="M19" s="65" t="n">
        <v>18</v>
      </c>
      <c r="N19" s="66" t="n">
        <v>3</v>
      </c>
      <c r="O19" s="62" t="s">
        <v>166</v>
      </c>
    </row>
    <row r="20">
      <c r="A20" s="62" t="s">
        <v>167</v>
      </c>
      <c r="B20" s="62" t="s">
        <v>168</v>
      </c>
      <c r="C20" s="62" t="s">
        <v>160</v>
      </c>
      <c r="D20" s="62" t="s">
        <v>169</v>
      </c>
      <c r="E20" s="63" t="s">
        <v>66</v>
      </c>
      <c r="F20" s="64" t="n">
        <v>0.5</v>
      </c>
      <c r="G20" s="64" t="n">
        <v>0.5</v>
      </c>
      <c r="H20" s="65" t="n">
        <v>12</v>
      </c>
      <c r="I20" s="65" t="n">
        <v>22</v>
      </c>
      <c r="J20" s="65" t="n">
        <v>36</v>
      </c>
      <c r="K20" s="65" t="n">
        <v>4</v>
      </c>
      <c r="L20" s="65" t="n">
        <v>10</v>
      </c>
      <c r="M20" s="65" t="n">
        <v>18</v>
      </c>
      <c r="N20" s="66" t="n">
        <v>3</v>
      </c>
      <c r="O20" s="62" t="s">
        <v>170</v>
      </c>
    </row>
    <row r="21">
      <c r="A21" s="62" t="s">
        <v>171</v>
      </c>
      <c r="B21" s="62" t="s">
        <v>172</v>
      </c>
      <c r="C21" s="62" t="s">
        <v>160</v>
      </c>
      <c r="D21" s="62" t="s">
        <v>173</v>
      </c>
      <c r="E21" s="63" t="s">
        <v>66</v>
      </c>
      <c r="F21" s="64" t="n">
        <v>0.5</v>
      </c>
      <c r="G21" s="64" t="n">
        <v>0.5</v>
      </c>
      <c r="H21" s="65" t="n">
        <v>12</v>
      </c>
      <c r="I21" s="65" t="n">
        <v>22</v>
      </c>
      <c r="J21" s="65" t="n">
        <v>36</v>
      </c>
      <c r="K21" s="65" t="n">
        <v>4</v>
      </c>
      <c r="L21" s="65" t="n">
        <v>10</v>
      </c>
      <c r="M21" s="65" t="n">
        <v>18</v>
      </c>
      <c r="N21" s="66" t="n">
        <v>3</v>
      </c>
      <c r="O21" s="62" t="s">
        <v>174</v>
      </c>
    </row>
    <row r="22">
      <c r="A22" s="62" t="s">
        <v>175</v>
      </c>
      <c r="B22" s="62" t="s">
        <v>176</v>
      </c>
      <c r="C22" s="62" t="s">
        <v>160</v>
      </c>
      <c r="D22" s="62" t="s">
        <v>177</v>
      </c>
      <c r="E22" s="63" t="s">
        <v>66</v>
      </c>
      <c r="F22" s="64" t="n">
        <v>0.5</v>
      </c>
      <c r="G22" s="64" t="n">
        <v>0.5</v>
      </c>
      <c r="H22" s="65" t="n">
        <v>12</v>
      </c>
      <c r="I22" s="65" t="n">
        <v>22</v>
      </c>
      <c r="J22" s="65" t="n">
        <v>36</v>
      </c>
      <c r="K22" s="65" t="n">
        <v>4</v>
      </c>
      <c r="L22" s="65" t="n">
        <v>10</v>
      </c>
      <c r="M22" s="65" t="n">
        <v>18</v>
      </c>
      <c r="N22" s="66" t="n">
        <v>3</v>
      </c>
      <c r="O22" s="62" t="s">
        <v>178</v>
      </c>
    </row>
    <row r="23">
      <c r="A23" s="62" t="s">
        <v>179</v>
      </c>
      <c r="B23" s="62" t="s">
        <v>180</v>
      </c>
      <c r="C23" s="62" t="s">
        <v>181</v>
      </c>
      <c r="D23" s="62" t="s">
        <v>182</v>
      </c>
      <c r="E23" s="63" t="s">
        <v>70</v>
      </c>
      <c r="F23" s="64" t="n">
        <v>2</v>
      </c>
      <c r="G23" s="64" t="n">
        <v>2</v>
      </c>
      <c r="H23" s="65" t="n">
        <v>60</v>
      </c>
      <c r="I23" s="65" t="n">
        <v>100</v>
      </c>
      <c r="J23" s="65" t="n">
        <v>160</v>
      </c>
      <c r="K23" s="65" t="n">
        <v>89</v>
      </c>
      <c r="L23" s="65" t="n">
        <v>174</v>
      </c>
      <c r="M23" s="65" t="n">
        <v>320</v>
      </c>
      <c r="N23" s="66" t="n">
        <v>4</v>
      </c>
      <c r="O23" s="62" t="s">
        <v>183</v>
      </c>
    </row>
    <row r="24">
      <c r="A24" s="62" t="s">
        <v>184</v>
      </c>
      <c r="B24" s="62" t="s">
        <v>185</v>
      </c>
      <c r="C24" s="62" t="s">
        <v>181</v>
      </c>
      <c r="D24" s="62" t="s">
        <v>186</v>
      </c>
      <c r="E24" s="63" t="s">
        <v>68</v>
      </c>
      <c r="F24" s="64" t="n">
        <v>1</v>
      </c>
      <c r="G24" s="64" t="n">
        <v>1</v>
      </c>
      <c r="H24" s="65" t="n">
        <v>25</v>
      </c>
      <c r="I24" s="65" t="n">
        <v>45</v>
      </c>
      <c r="J24" s="65" t="n">
        <v>72</v>
      </c>
      <c r="K24" s="65" t="n">
        <v>18</v>
      </c>
      <c r="L24" s="65" t="n">
        <v>39</v>
      </c>
      <c r="M24" s="65" t="n">
        <v>72</v>
      </c>
      <c r="N24" s="66" t="n">
        <v>4</v>
      </c>
      <c r="O24" s="62" t="s">
        <v>187</v>
      </c>
    </row>
    <row r="25">
      <c r="A25" s="62" t="s">
        <v>188</v>
      </c>
      <c r="B25" s="62" t="s">
        <v>189</v>
      </c>
      <c r="C25" s="62" t="s">
        <v>181</v>
      </c>
      <c r="D25" s="62" t="s">
        <v>190</v>
      </c>
      <c r="E25" s="63" t="s">
        <v>68</v>
      </c>
      <c r="F25" s="64" t="n">
        <v>1</v>
      </c>
      <c r="G25" s="64" t="n">
        <v>1</v>
      </c>
      <c r="H25" s="65" t="n">
        <v>25</v>
      </c>
      <c r="I25" s="65" t="n">
        <v>45</v>
      </c>
      <c r="J25" s="65" t="n">
        <v>72</v>
      </c>
      <c r="K25" s="65" t="n">
        <v>18</v>
      </c>
      <c r="L25" s="65" t="n">
        <v>39</v>
      </c>
      <c r="M25" s="65" t="n">
        <v>72</v>
      </c>
      <c r="N25" s="66" t="n">
        <v>4</v>
      </c>
      <c r="O25" s="62" t="s">
        <v>191</v>
      </c>
    </row>
    <row r="26">
      <c r="A26" s="62" t="s">
        <v>192</v>
      </c>
      <c r="B26" s="62" t="s">
        <v>193</v>
      </c>
      <c r="C26" s="62" t="s">
        <v>181</v>
      </c>
      <c r="D26" s="62" t="s">
        <v>194</v>
      </c>
      <c r="E26" s="63" t="s">
        <v>66</v>
      </c>
      <c r="F26" s="64" t="n">
        <v>0.5</v>
      </c>
      <c r="G26" s="64" t="n">
        <v>0.5</v>
      </c>
      <c r="H26" s="65" t="n">
        <v>12</v>
      </c>
      <c r="I26" s="65" t="n">
        <v>22</v>
      </c>
      <c r="J26" s="65" t="n">
        <v>36</v>
      </c>
      <c r="K26" s="65" t="n">
        <v>4</v>
      </c>
      <c r="L26" s="65" t="n">
        <v>10</v>
      </c>
      <c r="M26" s="65" t="n">
        <v>18</v>
      </c>
      <c r="N26" s="66" t="n">
        <v>4</v>
      </c>
      <c r="O26" s="62" t="s">
        <v>195</v>
      </c>
    </row>
    <row r="27">
      <c r="A27" s="62" t="s">
        <v>196</v>
      </c>
      <c r="B27" s="62" t="s">
        <v>197</v>
      </c>
      <c r="C27" s="62" t="s">
        <v>181</v>
      </c>
      <c r="D27" s="62" t="s">
        <v>198</v>
      </c>
      <c r="E27" s="63" t="s">
        <v>66</v>
      </c>
      <c r="F27" s="64" t="n">
        <v>0.5</v>
      </c>
      <c r="G27" s="64" t="n">
        <v>0.5</v>
      </c>
      <c r="H27" s="65" t="n">
        <v>12</v>
      </c>
      <c r="I27" s="65" t="n">
        <v>22</v>
      </c>
      <c r="J27" s="65" t="n">
        <v>36</v>
      </c>
      <c r="K27" s="65" t="n">
        <v>4</v>
      </c>
      <c r="L27" s="65" t="n">
        <v>10</v>
      </c>
      <c r="M27" s="65" t="n">
        <v>18</v>
      </c>
      <c r="N27" s="66" t="n">
        <v>4</v>
      </c>
      <c r="O27" s="62" t="s">
        <v>199</v>
      </c>
    </row>
    <row r="28">
      <c r="A28" s="67" t="s">
        <v>200</v>
      </c>
      <c r="B28" s="4" t="s">
        <v>201</v>
      </c>
      <c r="C28" s="4" t="s">
        <v>202</v>
      </c>
      <c r="D28" s="4" t="s">
        <v>203</v>
      </c>
      <c r="E28" s="68" t="s">
        <v>68</v>
      </c>
      <c r="F28" s="64" t="n">
        <v>1</v>
      </c>
      <c r="G28" s="64" t="n">
        <v>1</v>
      </c>
      <c r="H28" s="65" t="n">
        <v>25</v>
      </c>
      <c r="I28" s="65" t="n">
        <v>45</v>
      </c>
      <c r="J28" s="65" t="n">
        <v>72</v>
      </c>
      <c r="K28" s="65" t="n">
        <v>18</v>
      </c>
      <c r="L28" s="65" t="n">
        <v>39</v>
      </c>
      <c r="M28" s="65" t="n">
        <v>72</v>
      </c>
      <c r="N28" s="66" t="n">
        <v>4</v>
      </c>
      <c r="O28" s="4" t="s">
        <v>204</v>
      </c>
    </row>
    <row r="29">
      <c r="A29" s="4" t="s">
        <v>205</v>
      </c>
      <c r="B29" s="4" t="s">
        <v>206</v>
      </c>
      <c r="C29" s="4" t="s">
        <v>202</v>
      </c>
      <c r="D29" s="4" t="s">
        <v>207</v>
      </c>
      <c r="E29" s="68" t="s">
        <v>66</v>
      </c>
      <c r="F29" s="64" t="n">
        <v>0.5</v>
      </c>
      <c r="G29" s="64" t="n">
        <v>0.5</v>
      </c>
      <c r="H29" s="65" t="n">
        <v>12</v>
      </c>
      <c r="I29" s="65" t="n">
        <v>22</v>
      </c>
      <c r="J29" s="65" t="n">
        <v>36</v>
      </c>
      <c r="K29" s="65" t="n">
        <v>4</v>
      </c>
      <c r="L29" s="65" t="n">
        <v>10</v>
      </c>
      <c r="M29" s="65" t="n">
        <v>18</v>
      </c>
      <c r="N29" s="66" t="n">
        <v>4</v>
      </c>
      <c r="O29" s="4" t="s">
        <v>208</v>
      </c>
    </row>
    <row r="30">
      <c r="A30" s="4" t="s">
        <v>209</v>
      </c>
      <c r="B30" s="4" t="s">
        <v>210</v>
      </c>
      <c r="C30" s="4" t="s">
        <v>202</v>
      </c>
      <c r="D30" s="4" t="s">
        <v>211</v>
      </c>
      <c r="E30" s="68" t="s">
        <v>68</v>
      </c>
      <c r="F30" s="64" t="n">
        <v>1</v>
      </c>
      <c r="G30" s="64" t="n">
        <v>1</v>
      </c>
      <c r="H30" s="65" t="n">
        <v>25</v>
      </c>
      <c r="I30" s="65" t="n">
        <v>45</v>
      </c>
      <c r="J30" s="65" t="n">
        <v>72</v>
      </c>
      <c r="K30" s="65" t="n">
        <v>18</v>
      </c>
      <c r="L30" s="65" t="n">
        <v>39</v>
      </c>
      <c r="M30" s="65" t="n">
        <v>72</v>
      </c>
      <c r="N30" s="66" t="n">
        <v>4</v>
      </c>
      <c r="O30" s="4" t="s">
        <v>212</v>
      </c>
    </row>
    <row r="31">
      <c r="A31" s="4" t="s">
        <v>213</v>
      </c>
      <c r="B31" s="4" t="s">
        <v>214</v>
      </c>
      <c r="C31" s="4" t="s">
        <v>202</v>
      </c>
      <c r="D31" s="4" t="s">
        <v>215</v>
      </c>
      <c r="E31" s="68" t="s">
        <v>66</v>
      </c>
      <c r="F31" s="64" t="n">
        <v>0.5</v>
      </c>
      <c r="G31" s="64" t="n">
        <v>0.5</v>
      </c>
      <c r="H31" s="65" t="n">
        <v>12</v>
      </c>
      <c r="I31" s="65" t="n">
        <v>22</v>
      </c>
      <c r="J31" s="65" t="n">
        <v>36</v>
      </c>
      <c r="K31" s="65" t="n">
        <v>4</v>
      </c>
      <c r="L31" s="65" t="n">
        <v>10</v>
      </c>
      <c r="M31" s="65" t="n">
        <v>18</v>
      </c>
      <c r="N31" s="66" t="n">
        <v>5</v>
      </c>
      <c r="O31" s="4" t="s">
        <v>195</v>
      </c>
    </row>
    <row r="32">
      <c r="A32" s="4" t="s">
        <v>216</v>
      </c>
      <c r="B32" s="4" t="s">
        <v>217</v>
      </c>
      <c r="C32" s="4" t="s">
        <v>202</v>
      </c>
      <c r="D32" s="4" t="s">
        <v>218</v>
      </c>
      <c r="E32" s="68" t="s">
        <v>66</v>
      </c>
      <c r="F32" s="64" t="n">
        <v>0.5</v>
      </c>
      <c r="G32" s="64" t="n">
        <v>0.5</v>
      </c>
      <c r="H32" s="65" t="n">
        <v>12</v>
      </c>
      <c r="I32" s="65" t="n">
        <v>22</v>
      </c>
      <c r="J32" s="65" t="n">
        <v>36</v>
      </c>
      <c r="K32" s="65" t="n">
        <v>4</v>
      </c>
      <c r="L32" s="65" t="n">
        <v>10</v>
      </c>
      <c r="M32" s="65" t="n">
        <v>18</v>
      </c>
      <c r="N32" s="66" t="n">
        <v>5</v>
      </c>
      <c r="O32" s="4" t="s">
        <v>199</v>
      </c>
    </row>
    <row r="33">
      <c r="A33" s="4" t="s">
        <v>219</v>
      </c>
      <c r="B33" s="4" t="s">
        <v>220</v>
      </c>
      <c r="C33" s="4" t="s">
        <v>202</v>
      </c>
      <c r="D33" s="4" t="s">
        <v>221</v>
      </c>
      <c r="E33" s="68" t="s">
        <v>70</v>
      </c>
      <c r="F33" s="64" t="n">
        <v>2</v>
      </c>
      <c r="G33" s="64" t="n">
        <v>2</v>
      </c>
      <c r="H33" s="65" t="n">
        <v>60</v>
      </c>
      <c r="I33" s="65" t="n">
        <v>100</v>
      </c>
      <c r="J33" s="65" t="n">
        <v>160</v>
      </c>
      <c r="K33" s="65" t="n">
        <v>89</v>
      </c>
      <c r="L33" s="65" t="n">
        <v>174</v>
      </c>
      <c r="M33" s="65" t="n">
        <v>320</v>
      </c>
      <c r="N33" s="66" t="n">
        <v>5</v>
      </c>
      <c r="O33" s="4" t="s">
        <v>222</v>
      </c>
    </row>
    <row r="34">
      <c r="A34" s="4" t="s">
        <v>223</v>
      </c>
      <c r="B34" s="4" t="s">
        <v>224</v>
      </c>
      <c r="C34" s="4" t="s">
        <v>225</v>
      </c>
      <c r="D34" s="4" t="s">
        <v>226</v>
      </c>
      <c r="E34" s="68" t="s">
        <v>66</v>
      </c>
      <c r="F34" s="64" t="n">
        <v>0.5</v>
      </c>
      <c r="G34" s="64" t="n">
        <v>0.5</v>
      </c>
      <c r="H34" s="65" t="n">
        <v>12</v>
      </c>
      <c r="I34" s="65" t="n">
        <v>22</v>
      </c>
      <c r="J34" s="65" t="n">
        <v>36</v>
      </c>
      <c r="K34" s="65" t="n">
        <v>4</v>
      </c>
      <c r="L34" s="65" t="n">
        <v>10</v>
      </c>
      <c r="M34" s="65" t="n">
        <v>18</v>
      </c>
      <c r="N34" s="66" t="n">
        <v>5</v>
      </c>
      <c r="O34" s="4" t="s">
        <v>227</v>
      </c>
    </row>
    <row r="35">
      <c r="A35" s="4" t="s">
        <v>228</v>
      </c>
      <c r="B35" s="4" t="s">
        <v>229</v>
      </c>
      <c r="C35" s="4" t="s">
        <v>225</v>
      </c>
      <c r="D35" s="4" t="s">
        <v>230</v>
      </c>
      <c r="E35" s="68" t="s">
        <v>66</v>
      </c>
      <c r="F35" s="64" t="n">
        <v>0.5</v>
      </c>
      <c r="G35" s="64" t="n">
        <v>0.5</v>
      </c>
      <c r="H35" s="65" t="n">
        <v>12</v>
      </c>
      <c r="I35" s="65" t="n">
        <v>22</v>
      </c>
      <c r="J35" s="65" t="n">
        <v>36</v>
      </c>
      <c r="K35" s="65" t="n">
        <v>4</v>
      </c>
      <c r="L35" s="65" t="n">
        <v>10</v>
      </c>
      <c r="M35" s="65" t="n">
        <v>18</v>
      </c>
      <c r="N35" s="66" t="n">
        <v>5</v>
      </c>
      <c r="O35" s="4" t="s">
        <v>231</v>
      </c>
    </row>
    <row r="36">
      <c r="A36" s="4" t="s">
        <v>232</v>
      </c>
      <c r="B36" s="4" t="s">
        <v>233</v>
      </c>
      <c r="C36" s="4" t="s">
        <v>225</v>
      </c>
      <c r="D36" s="4" t="s">
        <v>234</v>
      </c>
      <c r="E36" s="68" t="s">
        <v>66</v>
      </c>
      <c r="F36" s="64" t="n">
        <v>0.5</v>
      </c>
      <c r="G36" s="64" t="n">
        <v>0.5</v>
      </c>
      <c r="H36" s="65" t="n">
        <v>12</v>
      </c>
      <c r="I36" s="65" t="n">
        <v>22</v>
      </c>
      <c r="J36" s="65" t="n">
        <v>36</v>
      </c>
      <c r="K36" s="65" t="n">
        <v>4</v>
      </c>
      <c r="L36" s="65" t="n">
        <v>10</v>
      </c>
      <c r="M36" s="65" t="n">
        <v>18</v>
      </c>
      <c r="N36" s="66" t="n">
        <v>5</v>
      </c>
      <c r="O36" s="4" t="s">
        <v>235</v>
      </c>
    </row>
    <row r="37">
      <c r="A37" s="4" t="s">
        <v>236</v>
      </c>
      <c r="B37" s="4" t="s">
        <v>237</v>
      </c>
      <c r="C37" s="4" t="s">
        <v>225</v>
      </c>
      <c r="D37" s="4" t="s">
        <v>238</v>
      </c>
      <c r="E37" s="68" t="s">
        <v>66</v>
      </c>
      <c r="F37" s="64" t="n">
        <v>0.5</v>
      </c>
      <c r="G37" s="64" t="n">
        <v>0.5</v>
      </c>
      <c r="H37" s="65" t="n">
        <v>12</v>
      </c>
      <c r="I37" s="65" t="n">
        <v>22</v>
      </c>
      <c r="J37" s="65" t="n">
        <v>36</v>
      </c>
      <c r="K37" s="65" t="n">
        <v>4</v>
      </c>
      <c r="L37" s="65" t="n">
        <v>10</v>
      </c>
      <c r="M37" s="65" t="n">
        <v>18</v>
      </c>
      <c r="N37" s="66" t="n">
        <v>5</v>
      </c>
      <c r="O37" s="4" t="s">
        <v>195</v>
      </c>
    </row>
    <row r="38">
      <c r="A38" s="4" t="s">
        <v>239</v>
      </c>
      <c r="B38" s="4" t="s">
        <v>240</v>
      </c>
      <c r="C38" s="4" t="s">
        <v>225</v>
      </c>
      <c r="D38" s="4" t="s">
        <v>241</v>
      </c>
      <c r="E38" s="68" t="s">
        <v>66</v>
      </c>
      <c r="F38" s="64" t="n">
        <v>0.5</v>
      </c>
      <c r="G38" s="64" t="n">
        <v>0.5</v>
      </c>
      <c r="H38" s="65" t="n">
        <v>12</v>
      </c>
      <c r="I38" s="65" t="n">
        <v>22</v>
      </c>
      <c r="J38" s="65" t="n">
        <v>36</v>
      </c>
      <c r="K38" s="65" t="n">
        <v>4</v>
      </c>
      <c r="L38" s="65" t="n">
        <v>10</v>
      </c>
      <c r="M38" s="65" t="n">
        <v>18</v>
      </c>
      <c r="N38" s="66" t="n">
        <v>5</v>
      </c>
      <c r="O38" s="4" t="s">
        <v>199</v>
      </c>
    </row>
    <row r="39">
      <c r="A39" s="4" t="s">
        <v>242</v>
      </c>
      <c r="B39" s="4" t="s">
        <v>243</v>
      </c>
      <c r="C39" s="4" t="s">
        <v>244</v>
      </c>
      <c r="D39" s="4" t="s">
        <v>245</v>
      </c>
      <c r="E39" s="68" t="s">
        <v>66</v>
      </c>
      <c r="F39" s="64" t="n">
        <v>0.5</v>
      </c>
      <c r="G39" s="64" t="n">
        <v>0.5</v>
      </c>
      <c r="H39" s="65" t="n">
        <v>12</v>
      </c>
      <c r="I39" s="65" t="n">
        <v>22</v>
      </c>
      <c r="J39" s="65" t="n">
        <v>36</v>
      </c>
      <c r="K39" s="65" t="n">
        <v>4</v>
      </c>
      <c r="L39" s="65" t="n">
        <v>10</v>
      </c>
      <c r="M39" s="65" t="n">
        <v>18</v>
      </c>
      <c r="N39" s="66" t="n">
        <v>5</v>
      </c>
      <c r="O39" s="4" t="s">
        <v>227</v>
      </c>
    </row>
    <row r="40">
      <c r="A40" s="4" t="s">
        <v>246</v>
      </c>
      <c r="B40" s="4" t="s">
        <v>247</v>
      </c>
      <c r="C40" s="4" t="s">
        <v>244</v>
      </c>
      <c r="D40" s="4" t="s">
        <v>248</v>
      </c>
      <c r="E40" s="68" t="s">
        <v>66</v>
      </c>
      <c r="F40" s="64" t="n">
        <v>0.5</v>
      </c>
      <c r="G40" s="64" t="n">
        <v>0.5</v>
      </c>
      <c r="H40" s="65" t="n">
        <v>12</v>
      </c>
      <c r="I40" s="65" t="n">
        <v>22</v>
      </c>
      <c r="J40" s="65" t="n">
        <v>36</v>
      </c>
      <c r="K40" s="65" t="n">
        <v>4</v>
      </c>
      <c r="L40" s="65" t="n">
        <v>10</v>
      </c>
      <c r="M40" s="65" t="n">
        <v>18</v>
      </c>
      <c r="N40" s="66" t="n">
        <v>5</v>
      </c>
      <c r="O40" s="4" t="s">
        <v>208</v>
      </c>
    </row>
    <row r="41">
      <c r="A41" s="4" t="s">
        <v>249</v>
      </c>
      <c r="B41" s="4" t="s">
        <v>250</v>
      </c>
      <c r="C41" s="4" t="s">
        <v>244</v>
      </c>
      <c r="D41" s="4" t="s">
        <v>251</v>
      </c>
      <c r="E41" s="68" t="s">
        <v>66</v>
      </c>
      <c r="F41" s="64" t="n">
        <v>0.5</v>
      </c>
      <c r="G41" s="64" t="n">
        <v>0.5</v>
      </c>
      <c r="H41" s="65" t="n">
        <v>12</v>
      </c>
      <c r="I41" s="65" t="n">
        <v>22</v>
      </c>
      <c r="J41" s="65" t="n">
        <v>36</v>
      </c>
      <c r="K41" s="65" t="n">
        <v>4</v>
      </c>
      <c r="L41" s="65" t="n">
        <v>10</v>
      </c>
      <c r="M41" s="65" t="n">
        <v>18</v>
      </c>
      <c r="N41" s="66" t="n">
        <v>6</v>
      </c>
      <c r="O41" s="4" t="s">
        <v>252</v>
      </c>
    </row>
    <row r="42">
      <c r="A42" s="4" t="s">
        <v>253</v>
      </c>
      <c r="B42" s="4" t="s">
        <v>254</v>
      </c>
      <c r="C42" s="4" t="s">
        <v>244</v>
      </c>
      <c r="D42" s="4" t="s">
        <v>255</v>
      </c>
      <c r="E42" s="68" t="s">
        <v>66</v>
      </c>
      <c r="F42" s="64" t="n">
        <v>0.5</v>
      </c>
      <c r="G42" s="64" t="n">
        <v>0.5</v>
      </c>
      <c r="H42" s="65" t="n">
        <v>12</v>
      </c>
      <c r="I42" s="65" t="n">
        <v>22</v>
      </c>
      <c r="J42" s="65" t="n">
        <v>36</v>
      </c>
      <c r="K42" s="65" t="n">
        <v>4</v>
      </c>
      <c r="L42" s="65" t="n">
        <v>10</v>
      </c>
      <c r="M42" s="65" t="n">
        <v>18</v>
      </c>
      <c r="N42" s="66" t="n">
        <v>6</v>
      </c>
      <c r="O42" s="4" t="s">
        <v>195</v>
      </c>
    </row>
    <row r="43">
      <c r="A43" s="4" t="s">
        <v>256</v>
      </c>
      <c r="B43" s="4" t="s">
        <v>257</v>
      </c>
      <c r="C43" s="4" t="s">
        <v>244</v>
      </c>
      <c r="D43" s="4" t="s">
        <v>258</v>
      </c>
      <c r="E43" s="68" t="s">
        <v>66</v>
      </c>
      <c r="F43" s="64" t="n">
        <v>0.5</v>
      </c>
      <c r="G43" s="64" t="n">
        <v>0.5</v>
      </c>
      <c r="H43" s="65" t="n">
        <v>12</v>
      </c>
      <c r="I43" s="65" t="n">
        <v>22</v>
      </c>
      <c r="J43" s="65" t="n">
        <v>36</v>
      </c>
      <c r="K43" s="65" t="n">
        <v>4</v>
      </c>
      <c r="L43" s="65" t="n">
        <v>10</v>
      </c>
      <c r="M43" s="65" t="n">
        <v>18</v>
      </c>
      <c r="N43" s="66" t="n">
        <v>6</v>
      </c>
      <c r="O43" s="4" t="s">
        <v>199</v>
      </c>
    </row>
    <row r="44">
      <c r="A44" s="4" t="s">
        <v>259</v>
      </c>
      <c r="B44" s="4" t="s">
        <v>260</v>
      </c>
      <c r="C44" s="4" t="s">
        <v>244</v>
      </c>
      <c r="D44" s="4" t="s">
        <v>261</v>
      </c>
      <c r="E44" s="68" t="s">
        <v>68</v>
      </c>
      <c r="F44" s="64" t="n">
        <v>1</v>
      </c>
      <c r="G44" s="64" t="n">
        <v>1</v>
      </c>
      <c r="H44" s="65" t="n">
        <v>25</v>
      </c>
      <c r="I44" s="65" t="n">
        <v>45</v>
      </c>
      <c r="J44" s="65" t="n">
        <v>72</v>
      </c>
      <c r="K44" s="65" t="n">
        <v>18</v>
      </c>
      <c r="L44" s="65" t="n">
        <v>39</v>
      </c>
      <c r="M44" s="65" t="n">
        <v>72</v>
      </c>
      <c r="N44" s="66" t="n">
        <v>6</v>
      </c>
      <c r="O44" s="4" t="s">
        <v>262</v>
      </c>
    </row>
    <row r="45">
      <c r="A45" s="4" t="s">
        <v>263</v>
      </c>
      <c r="B45" s="4" t="s">
        <v>264</v>
      </c>
      <c r="C45" s="4" t="s">
        <v>265</v>
      </c>
      <c r="D45" s="4" t="s">
        <v>266</v>
      </c>
      <c r="E45" s="68" t="s">
        <v>66</v>
      </c>
      <c r="F45" s="64" t="n">
        <v>0.5</v>
      </c>
      <c r="G45" s="64" t="n">
        <v>0.5</v>
      </c>
      <c r="H45" s="65" t="n">
        <v>12</v>
      </c>
      <c r="I45" s="65" t="n">
        <v>22</v>
      </c>
      <c r="J45" s="65" t="n">
        <v>36</v>
      </c>
      <c r="K45" s="65" t="n">
        <v>4</v>
      </c>
      <c r="L45" s="65" t="n">
        <v>10</v>
      </c>
      <c r="M45" s="65" t="n">
        <v>18</v>
      </c>
      <c r="N45" s="66" t="n">
        <v>6</v>
      </c>
      <c r="O45" s="4" t="s">
        <v>267</v>
      </c>
    </row>
    <row r="46">
      <c r="A46" s="4" t="s">
        <v>268</v>
      </c>
      <c r="B46" s="4" t="s">
        <v>269</v>
      </c>
      <c r="C46" s="4" t="s">
        <v>265</v>
      </c>
      <c r="D46" s="4" t="s">
        <v>270</v>
      </c>
      <c r="E46" s="68" t="s">
        <v>68</v>
      </c>
      <c r="F46" s="64" t="n">
        <v>1</v>
      </c>
      <c r="G46" s="64" t="n">
        <v>1</v>
      </c>
      <c r="H46" s="65" t="n">
        <v>25</v>
      </c>
      <c r="I46" s="65" t="n">
        <v>45</v>
      </c>
      <c r="J46" s="65" t="n">
        <v>72</v>
      </c>
      <c r="K46" s="65" t="n">
        <v>18</v>
      </c>
      <c r="L46" s="65" t="n">
        <v>39</v>
      </c>
      <c r="M46" s="65" t="n">
        <v>72</v>
      </c>
      <c r="N46" s="66" t="n">
        <v>6</v>
      </c>
      <c r="O46" s="4" t="s">
        <v>271</v>
      </c>
    </row>
    <row r="47">
      <c r="A47" s="4" t="s">
        <v>272</v>
      </c>
      <c r="B47" s="4" t="s">
        <v>273</v>
      </c>
      <c r="C47" s="4" t="s">
        <v>274</v>
      </c>
      <c r="D47" s="4" t="s">
        <v>275</v>
      </c>
      <c r="E47" s="68" t="s">
        <v>70</v>
      </c>
      <c r="F47" s="64" t="n">
        <v>2</v>
      </c>
      <c r="G47" s="64" t="n">
        <v>2</v>
      </c>
      <c r="H47" s="65" t="n">
        <v>60</v>
      </c>
      <c r="I47" s="65" t="n">
        <v>100</v>
      </c>
      <c r="J47" s="65" t="n">
        <v>160</v>
      </c>
      <c r="K47" s="65" t="n">
        <v>89</v>
      </c>
      <c r="L47" s="65" t="n">
        <v>174</v>
      </c>
      <c r="M47" s="65" t="n">
        <v>320</v>
      </c>
      <c r="N47" s="66" t="n">
        <v>6</v>
      </c>
      <c r="O47" s="4" t="s">
        <v>276</v>
      </c>
    </row>
    <row r="48">
      <c r="A48" s="4" t="s">
        <v>277</v>
      </c>
      <c r="B48" s="4" t="s">
        <v>278</v>
      </c>
      <c r="C48" s="4" t="s">
        <v>279</v>
      </c>
      <c r="D48" s="4" t="s">
        <v>280</v>
      </c>
      <c r="E48" s="68" t="s">
        <v>70</v>
      </c>
      <c r="F48" s="64" t="n">
        <v>2</v>
      </c>
      <c r="G48" s="64" t="n">
        <v>2</v>
      </c>
      <c r="H48" s="65" t="n">
        <v>60</v>
      </c>
      <c r="I48" s="65" t="n">
        <v>100</v>
      </c>
      <c r="J48" s="65" t="n">
        <v>160</v>
      </c>
      <c r="K48" s="65" t="n">
        <v>89</v>
      </c>
      <c r="L48" s="65" t="n">
        <v>174</v>
      </c>
      <c r="M48" s="65" t="n">
        <v>320</v>
      </c>
      <c r="N48" s="66" t="n">
        <v>7</v>
      </c>
      <c r="O48" s="4" t="s">
        <v>281</v>
      </c>
    </row>
    <row r="49">
      <c r="A49" s="4" t="s">
        <v>282</v>
      </c>
      <c r="B49" s="4" t="s">
        <v>283</v>
      </c>
      <c r="C49" s="4" t="s">
        <v>284</v>
      </c>
      <c r="D49" s="4" t="s">
        <v>285</v>
      </c>
      <c r="E49" s="68" t="s">
        <v>72</v>
      </c>
      <c r="F49" s="64" t="n">
        <v>5</v>
      </c>
      <c r="G49" s="64" t="n">
        <v>3</v>
      </c>
      <c r="H49" s="65" t="n">
        <v>155</v>
      </c>
      <c r="I49" s="65" t="n">
        <v>250</v>
      </c>
      <c r="J49" s="65" t="n">
        <v>410</v>
      </c>
      <c r="K49" s="65" t="n">
        <v>573</v>
      </c>
      <c r="L49" s="65" t="n">
        <v>1088</v>
      </c>
      <c r="M49" s="65" t="n">
        <v>2051</v>
      </c>
      <c r="N49" s="66" t="n">
        <v>7</v>
      </c>
      <c r="O49" s="4" t="s">
        <v>286</v>
      </c>
    </row>
    <row r="50">
      <c r="A50" s="4" t="s">
        <v>287</v>
      </c>
      <c r="B50" s="4" t="s">
        <v>288</v>
      </c>
      <c r="C50" s="4" t="s">
        <v>289</v>
      </c>
      <c r="D50" s="4" t="s">
        <v>290</v>
      </c>
      <c r="E50" s="68" t="s">
        <v>70</v>
      </c>
      <c r="F50" s="64" t="n">
        <v>2</v>
      </c>
      <c r="G50" s="64" t="n">
        <v>2</v>
      </c>
      <c r="H50" s="65" t="n">
        <v>60</v>
      </c>
      <c r="I50" s="65" t="n">
        <v>100</v>
      </c>
      <c r="J50" s="65" t="n">
        <v>160</v>
      </c>
      <c r="K50" s="65" t="n">
        <v>89</v>
      </c>
      <c r="L50" s="65" t="n">
        <v>174</v>
      </c>
      <c r="M50" s="65" t="n">
        <v>320</v>
      </c>
      <c r="N50" s="66" t="n">
        <v>7</v>
      </c>
      <c r="O50" s="4" t="s">
        <v>291</v>
      </c>
    </row>
    <row r="51">
      <c r="A51" s="4" t="s">
        <v>292</v>
      </c>
      <c r="B51" s="4" t="s">
        <v>293</v>
      </c>
      <c r="C51" s="4" t="s">
        <v>289</v>
      </c>
      <c r="D51" s="4" t="s">
        <v>294</v>
      </c>
      <c r="E51" s="68" t="s">
        <v>70</v>
      </c>
      <c r="F51" s="64" t="n">
        <v>2</v>
      </c>
      <c r="G51" s="64" t="n">
        <v>2</v>
      </c>
      <c r="H51" s="65" t="n">
        <v>60</v>
      </c>
      <c r="I51" s="65" t="n">
        <v>100</v>
      </c>
      <c r="J51" s="65" t="n">
        <v>160</v>
      </c>
      <c r="K51" s="65" t="n">
        <v>89</v>
      </c>
      <c r="L51" s="65" t="n">
        <v>174</v>
      </c>
      <c r="M51" s="65" t="n">
        <v>320</v>
      </c>
      <c r="N51" s="66" t="n">
        <v>7</v>
      </c>
      <c r="O51" s="4" t="s">
        <v>295</v>
      </c>
    </row>
    <row r="52">
      <c r="A52" s="4" t="s">
        <v>296</v>
      </c>
      <c r="B52" s="4" t="s">
        <v>297</v>
      </c>
      <c r="C52" s="4" t="s">
        <v>289</v>
      </c>
      <c r="D52" s="4" t="s">
        <v>298</v>
      </c>
      <c r="E52" s="68" t="s">
        <v>68</v>
      </c>
      <c r="F52" s="64" t="n">
        <v>1</v>
      </c>
      <c r="G52" s="64" t="n">
        <v>1</v>
      </c>
      <c r="H52" s="65" t="n">
        <v>25</v>
      </c>
      <c r="I52" s="65" t="n">
        <v>45</v>
      </c>
      <c r="J52" s="65" t="n">
        <v>72</v>
      </c>
      <c r="K52" s="65" t="n">
        <v>18</v>
      </c>
      <c r="L52" s="65" t="n">
        <v>39</v>
      </c>
      <c r="M52" s="65" t="n">
        <v>72</v>
      </c>
      <c r="N52" s="66" t="n">
        <v>7</v>
      </c>
      <c r="O52" s="4" t="s">
        <v>299</v>
      </c>
    </row>
    <row r="53">
      <c r="A53" s="4" t="s">
        <v>300</v>
      </c>
      <c r="B53" s="4" t="s">
        <v>301</v>
      </c>
      <c r="C53" s="4" t="s">
        <v>289</v>
      </c>
      <c r="D53" s="4" t="s">
        <v>302</v>
      </c>
      <c r="E53" s="68" t="s">
        <v>68</v>
      </c>
      <c r="F53" s="64" t="n">
        <v>1</v>
      </c>
      <c r="G53" s="64" t="n">
        <v>1</v>
      </c>
      <c r="H53" s="65" t="n">
        <v>25</v>
      </c>
      <c r="I53" s="65" t="n">
        <v>45</v>
      </c>
      <c r="J53" s="65" t="n">
        <v>72</v>
      </c>
      <c r="K53" s="65" t="n">
        <v>18</v>
      </c>
      <c r="L53" s="65" t="n">
        <v>39</v>
      </c>
      <c r="M53" s="65" t="n">
        <v>72</v>
      </c>
      <c r="N53" s="66" t="n">
        <v>8</v>
      </c>
      <c r="O53" s="4" t="s">
        <v>303</v>
      </c>
    </row>
    <row r="54">
      <c r="A54" s="4" t="s">
        <v>304</v>
      </c>
      <c r="B54" s="4" t="s">
        <v>305</v>
      </c>
      <c r="C54" s="4" t="s">
        <v>289</v>
      </c>
      <c r="D54" s="4" t="s">
        <v>306</v>
      </c>
      <c r="E54" s="68" t="s">
        <v>66</v>
      </c>
      <c r="F54" s="64" t="n">
        <v>0.5</v>
      </c>
      <c r="G54" s="64" t="n">
        <v>0.5</v>
      </c>
      <c r="H54" s="65" t="n">
        <v>12</v>
      </c>
      <c r="I54" s="65" t="n">
        <v>22</v>
      </c>
      <c r="J54" s="65" t="n">
        <v>36</v>
      </c>
      <c r="K54" s="65" t="n">
        <v>4</v>
      </c>
      <c r="L54" s="65" t="n">
        <v>10</v>
      </c>
      <c r="M54" s="65" t="n">
        <v>18</v>
      </c>
      <c r="N54" s="66" t="n">
        <v>8</v>
      </c>
      <c r="O54" s="4" t="s">
        <v>307</v>
      </c>
    </row>
    <row r="55">
      <c r="A55" s="4" t="s">
        <v>308</v>
      </c>
      <c r="B55" s="4" t="s">
        <v>309</v>
      </c>
      <c r="C55" s="4" t="s">
        <v>289</v>
      </c>
      <c r="D55" s="4" t="s">
        <v>310</v>
      </c>
      <c r="E55" s="68" t="s">
        <v>68</v>
      </c>
      <c r="F55" s="64" t="n">
        <v>1</v>
      </c>
      <c r="G55" s="64" t="n">
        <v>1</v>
      </c>
      <c r="H55" s="65" t="n">
        <v>25</v>
      </c>
      <c r="I55" s="65" t="n">
        <v>45</v>
      </c>
      <c r="J55" s="65" t="n">
        <v>72</v>
      </c>
      <c r="K55" s="65" t="n">
        <v>18</v>
      </c>
      <c r="L55" s="65" t="n">
        <v>39</v>
      </c>
      <c r="M55" s="65" t="n">
        <v>72</v>
      </c>
      <c r="N55" s="66" t="n">
        <v>8</v>
      </c>
      <c r="O55" s="4" t="s">
        <v>311</v>
      </c>
    </row>
    <row r="56">
      <c r="A56" s="4" t="s">
        <v>312</v>
      </c>
      <c r="B56" s="4" t="s">
        <v>313</v>
      </c>
      <c r="C56" s="4" t="s">
        <v>314</v>
      </c>
      <c r="D56" s="4" t="s">
        <v>315</v>
      </c>
      <c r="E56" s="68" t="s">
        <v>66</v>
      </c>
      <c r="F56" s="64" t="n">
        <v>0.5</v>
      </c>
      <c r="G56" s="64" t="n">
        <v>0.5</v>
      </c>
      <c r="H56" s="65" t="n">
        <v>12</v>
      </c>
      <c r="I56" s="65" t="n">
        <v>22</v>
      </c>
      <c r="J56" s="65" t="n">
        <v>36</v>
      </c>
      <c r="K56" s="65" t="n">
        <v>4</v>
      </c>
      <c r="L56" s="65" t="n">
        <v>10</v>
      </c>
      <c r="M56" s="65" t="n">
        <v>18</v>
      </c>
      <c r="N56" s="66" t="n">
        <v>8</v>
      </c>
      <c r="O56" s="4" t="s">
        <v>316</v>
      </c>
    </row>
    <row r="57">
      <c r="A57" s="4" t="s">
        <v>317</v>
      </c>
      <c r="B57" s="4" t="s">
        <v>318</v>
      </c>
      <c r="C57" s="4" t="s">
        <v>319</v>
      </c>
      <c r="D57" s="4" t="s">
        <v>320</v>
      </c>
      <c r="E57" s="68" t="s">
        <v>68</v>
      </c>
      <c r="F57" s="64" t="n">
        <v>1</v>
      </c>
      <c r="G57" s="64" t="n">
        <v>1</v>
      </c>
      <c r="H57" s="65" t="n">
        <v>25</v>
      </c>
      <c r="I57" s="65" t="n">
        <v>45</v>
      </c>
      <c r="J57" s="65" t="n">
        <v>72</v>
      </c>
      <c r="K57" s="65" t="n">
        <v>18</v>
      </c>
      <c r="L57" s="65" t="n">
        <v>39</v>
      </c>
      <c r="M57" s="65" t="n">
        <v>72</v>
      </c>
      <c r="N57" s="66" t="n">
        <v>8</v>
      </c>
      <c r="O57" s="4" t="s">
        <v>321</v>
      </c>
    </row>
    <row r="58">
      <c r="A58" s="69" t="s">
        <v>322</v>
      </c>
      <c r="F58" s="52" t="n">
        <v>58</v>
      </c>
      <c r="G58" s="52" t="n">
        <v>56</v>
      </c>
      <c r="K58" s="70" t="n">
        <v>2033</v>
      </c>
      <c r="L58" s="70" t="n">
        <v>4060</v>
      </c>
      <c r="M58" s="70" t="n">
        <v>7511</v>
      </c>
    </row>
    <row r="59">
      <c r="A59" s="71" t="s">
        <v>323</v>
      </c>
    </row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1">
    <mergeCell ref="A59:P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0" customWidth="1" min="3" max="3"/>
    <col width="14" customWidth="1" min="4" max="4"/>
    <col width="14" customWidth="1" min="5" max="5"/>
    <col width="30" customWidth="1" min="6" max="6"/>
    <col width="10" customWidth="1" min="7" max="7"/>
  </cols>
  <sheetData>
    <row r="1" ht="28" customHeight="1">
      <c r="A1" s="1" t="s">
        <v>324</v>
      </c>
    </row>
    <row r="2">
      <c r="A2" s="26" t="s">
        <v>325</v>
      </c>
    </row>
    <row r="3">
      <c r="A3" s="9" t="s">
        <v>326</v>
      </c>
      <c r="B3" s="9" t="s">
        <v>327</v>
      </c>
      <c r="C3" s="9" t="s">
        <v>328</v>
      </c>
      <c r="D3" s="9" t="s">
        <v>329</v>
      </c>
      <c r="E3" s="9" t="s">
        <v>330</v>
      </c>
      <c r="F3" s="9" t="s">
        <v>82</v>
      </c>
      <c r="G3" s="9" t="n"/>
    </row>
    <row r="4">
      <c r="A4" s="4" t="s">
        <v>331</v>
      </c>
      <c r="B4" s="4" t="s">
        <v>332</v>
      </c>
      <c r="C4" s="12" t="n">
        <v>1.5</v>
      </c>
      <c r="D4" s="72" t="n">
        <v>4</v>
      </c>
      <c r="E4" s="11">
        <f>C4*D4</f>
      </c>
      <c r="F4" s="73" t="s">
        <v>333</v>
      </c>
    </row>
    <row r="5">
      <c r="A5" s="4" t="s">
        <v>334</v>
      </c>
      <c r="B5" s="4" t="s">
        <v>335</v>
      </c>
      <c r="C5" s="12" t="n">
        <v>-1</v>
      </c>
      <c r="D5" s="72" t="n">
        <v>2</v>
      </c>
      <c r="E5" s="11">
        <f>C5*D5</f>
      </c>
      <c r="F5" s="73" t="s">
        <v>336</v>
      </c>
    </row>
    <row r="6">
      <c r="A6" s="4" t="s">
        <v>337</v>
      </c>
      <c r="B6" s="4" t="s">
        <v>338</v>
      </c>
      <c r="C6" s="12" t="n">
        <v>0.5</v>
      </c>
      <c r="D6" s="72" t="n">
        <v>4</v>
      </c>
      <c r="E6" s="11">
        <f>C6*D6</f>
      </c>
      <c r="F6" s="73" t="s">
        <v>339</v>
      </c>
    </row>
    <row r="7">
      <c r="A7" s="4" t="s">
        <v>340</v>
      </c>
      <c r="B7" s="4" t="s">
        <v>341</v>
      </c>
      <c r="C7" s="12" t="n">
        <v>0.5</v>
      </c>
      <c r="D7" s="72" t="n">
        <v>4</v>
      </c>
      <c r="E7" s="11">
        <f>C7*D7</f>
      </c>
      <c r="F7" s="73" t="s">
        <v>342</v>
      </c>
    </row>
    <row r="8">
      <c r="A8" s="4" t="s">
        <v>343</v>
      </c>
      <c r="B8" s="4" t="s">
        <v>344</v>
      </c>
      <c r="C8" s="12" t="n">
        <v>1</v>
      </c>
      <c r="D8" s="72" t="n">
        <v>5</v>
      </c>
      <c r="E8" s="11">
        <f>C8*D8</f>
      </c>
      <c r="F8" s="73" t="s">
        <v>345</v>
      </c>
    </row>
    <row r="9">
      <c r="A9" s="4" t="s">
        <v>346</v>
      </c>
      <c r="B9" s="4" t="s">
        <v>347</v>
      </c>
      <c r="C9" s="12" t="n">
        <v>2</v>
      </c>
      <c r="D9" s="72" t="n">
        <v>4</v>
      </c>
      <c r="E9" s="11">
        <f>C9*D9</f>
      </c>
      <c r="F9" s="73" t="s">
        <v>348</v>
      </c>
    </row>
    <row r="10">
      <c r="A10" s="4" t="s">
        <v>349</v>
      </c>
      <c r="B10" s="4" t="s">
        <v>350</v>
      </c>
      <c r="C10" s="12" t="n">
        <v>-1</v>
      </c>
      <c r="D10" s="72" t="n">
        <v>5</v>
      </c>
      <c r="E10" s="11">
        <f>C10*D10</f>
      </c>
      <c r="F10" s="73" t="s">
        <v>351</v>
      </c>
    </row>
    <row r="11">
      <c r="A11" s="4" t="s">
        <v>352</v>
      </c>
      <c r="B11" s="4" t="s">
        <v>353</v>
      </c>
      <c r="C11" s="12" t="n">
        <v>-1</v>
      </c>
      <c r="D11" s="72" t="n">
        <v>4</v>
      </c>
      <c r="E11" s="11">
        <f>C11*D11</f>
      </c>
      <c r="F11" s="73" t="s">
        <v>354</v>
      </c>
    </row>
    <row r="12">
      <c r="A12" s="27" t="s">
        <v>355</v>
      </c>
    </row>
    <row r="13">
      <c r="A13" s="4" t="s">
        <v>356</v>
      </c>
      <c r="B13" s="4" t="s">
        <v>357</v>
      </c>
      <c r="C13" s="12" t="n">
        <v>0.8</v>
      </c>
      <c r="D13" s="72" t="n">
        <v>3</v>
      </c>
      <c r="E13" s="11">
        <f>C13*D13</f>
      </c>
      <c r="F13" s="73" t="s">
        <v>358</v>
      </c>
    </row>
    <row r="14">
      <c r="A14" s="4" t="s">
        <v>359</v>
      </c>
      <c r="B14" s="4" t="s">
        <v>360</v>
      </c>
      <c r="C14" s="12" t="n">
        <v>0.6</v>
      </c>
      <c r="D14" s="72" t="n">
        <v>4</v>
      </c>
      <c r="E14" s="11">
        <f>C14*D14</f>
      </c>
      <c r="F14" s="73" t="s">
        <v>361</v>
      </c>
    </row>
    <row r="15">
      <c r="A15" s="4" t="s">
        <v>362</v>
      </c>
      <c r="B15" s="4" t="s">
        <v>363</v>
      </c>
      <c r="C15" s="12" t="n">
        <v>-0.5</v>
      </c>
      <c r="D15" s="72" t="n">
        <v>4</v>
      </c>
      <c r="E15" s="11">
        <f>C15*D15</f>
      </c>
      <c r="F15" s="73" t="s">
        <v>364</v>
      </c>
    </row>
    <row r="16">
      <c r="A16" s="4" t="s">
        <v>365</v>
      </c>
      <c r="B16" s="4" t="s">
        <v>366</v>
      </c>
      <c r="C16" s="12" t="n">
        <v>-0.4</v>
      </c>
      <c r="D16" s="72" t="n">
        <v>3</v>
      </c>
      <c r="E16" s="11">
        <f>C16*D16</f>
      </c>
      <c r="F16" s="73" t="s">
        <v>367</v>
      </c>
    </row>
    <row r="17">
      <c r="A17" s="4" t="s">
        <v>368</v>
      </c>
      <c r="B17" s="4" t="s">
        <v>369</v>
      </c>
      <c r="C17" s="12" t="n">
        <v>-0.6</v>
      </c>
      <c r="D17" s="72" t="n">
        <v>3</v>
      </c>
      <c r="E17" s="11">
        <f>C17*D17</f>
      </c>
      <c r="F17" s="73" t="s">
        <v>370</v>
      </c>
    </row>
    <row r="18">
      <c r="A18" s="28" t="s">
        <v>371</v>
      </c>
      <c r="C18" s="29">
        <f>1.4+(-0.03*SUM(E4:E11))</f>
      </c>
    </row>
    <row r="19">
      <c r="A19" s="28" t="s">
        <v>372</v>
      </c>
      <c r="C19" s="29">
        <f>1+(0.05*SUM(E13:E17))</f>
      </c>
    </row>
    <row r="20">
      <c r="A20" s="28" t="s">
        <v>373</v>
      </c>
      <c r="C20" s="30">
        <f>C18*C19</f>
      </c>
    </row>
    <row r="22">
      <c r="A22" s="31" t="s">
        <v>374</v>
      </c>
    </row>
  </sheetData>
  <mergeCells count="3">
    <mergeCell ref="A2:G2"/>
    <mergeCell ref="A1:G1"/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0" customWidth="1" min="3" max="3"/>
    <col width="14" customWidth="1" min="4" max="4"/>
    <col width="14" customWidth="1" min="5" max="5"/>
    <col width="30" customWidth="1" min="6" max="6"/>
  </cols>
  <sheetData>
    <row r="1" ht="28" customHeight="1">
      <c r="A1" s="1" t="s">
        <v>375</v>
      </c>
    </row>
    <row r="2">
      <c r="A2" s="26" t="s">
        <v>376</v>
      </c>
    </row>
    <row r="3">
      <c r="A3" s="9" t="s">
        <v>326</v>
      </c>
      <c r="B3" s="9" t="s">
        <v>327</v>
      </c>
      <c r="C3" s="9" t="s">
        <v>328</v>
      </c>
      <c r="D3" s="9" t="s">
        <v>329</v>
      </c>
      <c r="E3" s="9" t="s">
        <v>330</v>
      </c>
      <c r="F3" s="9" t="s">
        <v>82</v>
      </c>
    </row>
    <row r="4">
      <c r="A4" s="4" t="s">
        <v>377</v>
      </c>
      <c r="B4" s="4" t="s">
        <v>378</v>
      </c>
      <c r="C4" s="12" t="n">
        <v>2</v>
      </c>
      <c r="D4" s="72" t="n">
        <v>1</v>
      </c>
      <c r="E4" s="11">
        <f>C4*D4</f>
      </c>
      <c r="F4" s="73" t="s">
        <v>379</v>
      </c>
    </row>
    <row r="5">
      <c r="A5" s="4" t="s">
        <v>380</v>
      </c>
      <c r="B5" s="4" t="s">
        <v>381</v>
      </c>
      <c r="C5" s="12" t="n">
        <v>1</v>
      </c>
      <c r="D5" s="72" t="n">
        <v>2</v>
      </c>
      <c r="E5" s="11">
        <f>C5*D5</f>
      </c>
      <c r="F5" s="73" t="s">
        <v>382</v>
      </c>
    </row>
    <row r="6">
      <c r="A6" s="4" t="s">
        <v>383</v>
      </c>
      <c r="B6" s="4" t="s">
        <v>384</v>
      </c>
      <c r="C6" s="12" t="n">
        <v>1</v>
      </c>
      <c r="D6" s="72" t="n">
        <v>3</v>
      </c>
      <c r="E6" s="11">
        <f>C6*D6</f>
      </c>
      <c r="F6" s="73" t="s">
        <v>385</v>
      </c>
    </row>
    <row r="7">
      <c r="A7" s="4" t="s">
        <v>386</v>
      </c>
      <c r="B7" s="4" t="s">
        <v>387</v>
      </c>
      <c r="C7" s="12" t="n">
        <v>1</v>
      </c>
      <c r="D7" s="72" t="n">
        <v>2</v>
      </c>
      <c r="E7" s="11">
        <f>C7*D7</f>
      </c>
      <c r="F7" s="73" t="s">
        <v>388</v>
      </c>
    </row>
    <row r="8">
      <c r="A8" s="4" t="s">
        <v>389</v>
      </c>
      <c r="B8" s="4" t="s">
        <v>390</v>
      </c>
      <c r="C8" s="12" t="n">
        <v>1</v>
      </c>
      <c r="D8" s="72" t="n">
        <v>4</v>
      </c>
      <c r="E8" s="11">
        <f>C8*D8</f>
      </c>
      <c r="F8" s="73" t="s">
        <v>391</v>
      </c>
    </row>
    <row r="9">
      <c r="A9" s="4" t="s">
        <v>392</v>
      </c>
      <c r="B9" s="4" t="s">
        <v>393</v>
      </c>
      <c r="C9" s="12" t="n">
        <v>0.5</v>
      </c>
      <c r="D9" s="72" t="n">
        <v>3</v>
      </c>
      <c r="E9" s="11">
        <f>C9*D9</f>
      </c>
      <c r="F9" s="73" t="s">
        <v>394</v>
      </c>
    </row>
    <row r="10">
      <c r="A10" s="4" t="s">
        <v>395</v>
      </c>
      <c r="B10" s="4" t="s">
        <v>396</v>
      </c>
      <c r="C10" s="12" t="n">
        <v>0.5</v>
      </c>
      <c r="D10" s="72" t="n">
        <v>3</v>
      </c>
      <c r="E10" s="11">
        <f>C10*D10</f>
      </c>
      <c r="F10" s="73" t="s">
        <v>397</v>
      </c>
    </row>
    <row r="11">
      <c r="A11" s="4" t="s">
        <v>398</v>
      </c>
      <c r="B11" s="4" t="s">
        <v>399</v>
      </c>
      <c r="C11" s="12" t="n">
        <v>2</v>
      </c>
      <c r="D11" s="72" t="n">
        <v>2</v>
      </c>
      <c r="E11" s="11">
        <f>C11*D11</f>
      </c>
      <c r="F11" s="73" t="s">
        <v>400</v>
      </c>
    </row>
    <row r="12">
      <c r="A12" s="4" t="s">
        <v>401</v>
      </c>
      <c r="B12" s="4" t="s">
        <v>402</v>
      </c>
      <c r="C12" s="12" t="n">
        <v>1</v>
      </c>
      <c r="D12" s="72" t="n">
        <v>5</v>
      </c>
      <c r="E12" s="11">
        <f>C12*D12</f>
      </c>
      <c r="F12" s="73" t="s">
        <v>403</v>
      </c>
    </row>
    <row r="13">
      <c r="A13" s="4" t="s">
        <v>404</v>
      </c>
      <c r="B13" s="4" t="s">
        <v>405</v>
      </c>
      <c r="C13" s="12" t="n">
        <v>1</v>
      </c>
      <c r="D13" s="72" t="n">
        <v>1</v>
      </c>
      <c r="E13" s="11">
        <f>C13*D13</f>
      </c>
      <c r="F13" s="73" t="s">
        <v>406</v>
      </c>
    </row>
    <row r="14">
      <c r="A14" s="4" t="s">
        <v>407</v>
      </c>
      <c r="B14" s="4" t="s">
        <v>408</v>
      </c>
      <c r="C14" s="12" t="n">
        <v>1</v>
      </c>
      <c r="D14" s="72" t="n">
        <v>2</v>
      </c>
      <c r="E14" s="11">
        <f>C14*D14</f>
      </c>
      <c r="F14" s="73" t="s">
        <v>409</v>
      </c>
    </row>
    <row r="15">
      <c r="A15" s="4" t="s">
        <v>410</v>
      </c>
      <c r="B15" s="4" t="s">
        <v>411</v>
      </c>
      <c r="C15" s="12" t="n">
        <v>1</v>
      </c>
      <c r="D15" s="72" t="n">
        <v>3</v>
      </c>
      <c r="E15" s="11">
        <f>C15*D15</f>
      </c>
      <c r="F15" s="73" t="s">
        <v>412</v>
      </c>
    </row>
    <row r="16">
      <c r="A16" s="4" t="s">
        <v>413</v>
      </c>
      <c r="B16" s="4" t="s">
        <v>414</v>
      </c>
      <c r="C16" s="12" t="n">
        <v>1</v>
      </c>
      <c r="D16" s="72" t="n">
        <v>2</v>
      </c>
      <c r="E16" s="11">
        <f>C16*D16</f>
      </c>
      <c r="F16" s="73" t="s">
        <v>415</v>
      </c>
    </row>
    <row r="17">
      <c r="A17" s="28" t="s">
        <v>416</v>
      </c>
      <c r="C17" s="30">
        <f>0.6+(0.01*SUM(E4:E16))</f>
      </c>
    </row>
    <row r="18">
      <c r="A18" s="28" t="s">
        <v>417</v>
      </c>
      <c r="C18" s="29">
        <f>'3-ECF'!C20</f>
      </c>
    </row>
    <row r="19">
      <c r="A19" s="28" t="s">
        <v>418</v>
      </c>
      <c r="C19" s="30">
        <f>C17*C18</f>
      </c>
    </row>
    <row r="20">
      <c r="A20" s="31" t="s">
        <v>419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22" customWidth="1" min="13" max="13"/>
    <col width="14" customWidth="1" min="14" max="14"/>
    <col width="28" customWidth="1" min="15" max="15"/>
  </cols>
  <sheetData>
    <row r="1" ht="28" customHeight="1">
      <c r="A1" s="1" t="s">
        <v>420</v>
      </c>
    </row>
    <row r="2">
      <c r="A2" s="9" t="s">
        <v>78</v>
      </c>
      <c r="B2" s="9" t="s">
        <v>421</v>
      </c>
      <c r="C2" s="9" t="s">
        <v>422</v>
      </c>
      <c r="D2" s="9" t="s">
        <v>423</v>
      </c>
      <c r="E2" s="9" t="s">
        <v>424</v>
      </c>
      <c r="F2" s="9" t="s">
        <v>425</v>
      </c>
      <c r="G2" s="9" t="s">
        <v>426</v>
      </c>
      <c r="H2" s="9" t="s">
        <v>427</v>
      </c>
      <c r="I2" s="9" t="s">
        <v>428</v>
      </c>
      <c r="J2" s="9" t="s">
        <v>429</v>
      </c>
      <c r="K2" s="9" t="s">
        <v>430</v>
      </c>
      <c r="L2" s="9" t="s">
        <v>431</v>
      </c>
      <c r="M2" s="9" t="s">
        <v>432</v>
      </c>
      <c r="N2" s="9" t="s">
        <v>433</v>
      </c>
      <c r="O2" s="9" t="s">
        <v>82</v>
      </c>
    </row>
    <row r="3">
      <c r="A3" s="74" t="n">
        <v>1</v>
      </c>
      <c r="B3" s="75" t="n">
        <v>5</v>
      </c>
      <c r="C3" s="76" t="n">
        <v>6.5</v>
      </c>
      <c r="D3" s="76" t="n">
        <v>6.5</v>
      </c>
      <c r="E3" s="77" t="n">
        <v>218</v>
      </c>
      <c r="F3" s="77" t="n">
        <v>436</v>
      </c>
      <c r="G3" s="77" t="n">
        <v>802</v>
      </c>
      <c r="H3" s="78" t="n">
        <v>0.1</v>
      </c>
      <c r="I3" s="78" t="n">
        <v>0.3</v>
      </c>
      <c r="J3" s="78" t="n">
        <v>0.5</v>
      </c>
      <c r="K3" s="55" t="n">
        <v>5.2</v>
      </c>
      <c r="L3" s="56" t="n">
        <v>1300</v>
      </c>
      <c r="M3" s="79" t="s">
        <v>434</v>
      </c>
      <c r="N3" s="79" t="s">
        <v>16</v>
      </c>
      <c r="O3" s="79" t="s">
        <v>435</v>
      </c>
    </row>
    <row r="4">
      <c r="A4" s="74" t="n">
        <v>2</v>
      </c>
      <c r="B4" s="75" t="n">
        <v>6</v>
      </c>
      <c r="C4" s="76" t="n">
        <v>8</v>
      </c>
      <c r="D4" s="76" t="n">
        <v>8</v>
      </c>
      <c r="E4" s="77" t="n">
        <v>250</v>
      </c>
      <c r="F4" s="77" t="n">
        <v>504</v>
      </c>
      <c r="G4" s="77" t="n">
        <v>928</v>
      </c>
      <c r="H4" s="78" t="n">
        <v>0.2</v>
      </c>
      <c r="I4" s="78" t="n">
        <v>0.3</v>
      </c>
      <c r="J4" s="78" t="n">
        <v>0.6</v>
      </c>
      <c r="K4" s="55" t="n">
        <v>6.4</v>
      </c>
      <c r="L4" s="56" t="n">
        <v>1600</v>
      </c>
      <c r="M4" s="79" t="s">
        <v>434</v>
      </c>
      <c r="N4" s="79" t="s">
        <v>16</v>
      </c>
      <c r="O4" s="79" t="s">
        <v>436</v>
      </c>
    </row>
    <row r="5">
      <c r="A5" s="74" t="n">
        <v>3</v>
      </c>
      <c r="B5" s="75" t="n">
        <v>9</v>
      </c>
      <c r="C5" s="76" t="n">
        <v>7.5</v>
      </c>
      <c r="D5" s="76" t="n">
        <v>7.5</v>
      </c>
      <c r="E5" s="77" t="n">
        <v>206</v>
      </c>
      <c r="F5" s="77" t="n">
        <v>418</v>
      </c>
      <c r="G5" s="77" t="n">
        <v>766</v>
      </c>
      <c r="H5" s="78" t="n">
        <v>0.1</v>
      </c>
      <c r="I5" s="78" t="n">
        <v>0.3</v>
      </c>
      <c r="J5" s="78" t="n">
        <v>0.5</v>
      </c>
      <c r="K5" s="55" t="n">
        <v>6</v>
      </c>
      <c r="L5" s="56" t="n">
        <v>1500</v>
      </c>
      <c r="M5" s="79" t="s">
        <v>434</v>
      </c>
      <c r="N5" s="79" t="s">
        <v>16</v>
      </c>
      <c r="O5" s="79" t="s">
        <v>437</v>
      </c>
    </row>
    <row r="6">
      <c r="A6" s="74" t="n">
        <v>4</v>
      </c>
      <c r="B6" s="75" t="n">
        <v>8</v>
      </c>
      <c r="C6" s="76" t="n">
        <v>7.5</v>
      </c>
      <c r="D6" s="76" t="n">
        <v>7.5</v>
      </c>
      <c r="E6" s="77" t="n">
        <v>173</v>
      </c>
      <c r="F6" s="77" t="n">
        <v>360</v>
      </c>
      <c r="G6" s="77" t="n">
        <v>662</v>
      </c>
      <c r="H6" s="78" t="n">
        <v>0.1</v>
      </c>
      <c r="I6" s="78" t="n">
        <v>0.2</v>
      </c>
      <c r="J6" s="78" t="n">
        <v>0.4</v>
      </c>
      <c r="K6" s="55" t="n">
        <v>6</v>
      </c>
      <c r="L6" s="56" t="n">
        <v>1500</v>
      </c>
      <c r="M6" s="79" t="s">
        <v>434</v>
      </c>
      <c r="N6" s="79" t="s">
        <v>16</v>
      </c>
      <c r="O6" s="79" t="s">
        <v>438</v>
      </c>
    </row>
    <row r="7">
      <c r="A7" s="74" t="n">
        <v>5</v>
      </c>
      <c r="B7" s="75" t="n">
        <v>10</v>
      </c>
      <c r="C7" s="76" t="n">
        <v>6.5</v>
      </c>
      <c r="D7" s="76" t="n">
        <v>6.5</v>
      </c>
      <c r="E7" s="77" t="n">
        <v>125</v>
      </c>
      <c r="F7" s="77" t="n">
        <v>264</v>
      </c>
      <c r="G7" s="77" t="n">
        <v>482</v>
      </c>
      <c r="H7" s="78" t="n">
        <v>0.1</v>
      </c>
      <c r="I7" s="78" t="n">
        <v>0.2</v>
      </c>
      <c r="J7" s="78" t="n">
        <v>0.3</v>
      </c>
      <c r="K7" s="55" t="n">
        <v>5.2</v>
      </c>
      <c r="L7" s="56" t="n">
        <v>1300</v>
      </c>
      <c r="M7" s="79" t="s">
        <v>434</v>
      </c>
      <c r="N7" s="79" t="s">
        <v>16</v>
      </c>
      <c r="O7" s="79" t="s">
        <v>439</v>
      </c>
    </row>
    <row r="8">
      <c r="A8" s="74" t="n">
        <v>6</v>
      </c>
      <c r="B8" s="75" t="n">
        <v>7</v>
      </c>
      <c r="C8" s="76" t="n">
        <v>6</v>
      </c>
      <c r="D8" s="76" t="n">
        <v>6</v>
      </c>
      <c r="E8" s="77" t="n">
        <v>141</v>
      </c>
      <c r="F8" s="77" t="n">
        <v>292</v>
      </c>
      <c r="G8" s="77" t="n">
        <v>536</v>
      </c>
      <c r="H8" s="78" t="n">
        <v>0.1</v>
      </c>
      <c r="I8" s="78" t="n">
        <v>0.2</v>
      </c>
      <c r="J8" s="78" t="n">
        <v>0.4</v>
      </c>
      <c r="K8" s="55" t="n">
        <v>4.8</v>
      </c>
      <c r="L8" s="56" t="n">
        <v>1200</v>
      </c>
      <c r="M8" s="79" t="s">
        <v>434</v>
      </c>
      <c r="N8" s="79" t="s">
        <v>16</v>
      </c>
      <c r="O8" s="79" t="s">
        <v>440</v>
      </c>
    </row>
    <row r="9">
      <c r="A9" s="74" t="n">
        <v>7</v>
      </c>
      <c r="B9" s="75" t="n">
        <v>5</v>
      </c>
      <c r="C9" s="76" t="n">
        <v>12</v>
      </c>
      <c r="D9" s="76" t="n">
        <v>10</v>
      </c>
      <c r="E9" s="77" t="n">
        <v>858</v>
      </c>
      <c r="F9" s="77" t="n">
        <v>1649</v>
      </c>
      <c r="G9" s="77" t="n">
        <v>3083</v>
      </c>
      <c r="H9" s="78" t="n">
        <v>0.6</v>
      </c>
      <c r="I9" s="78" t="n">
        <v>1.1</v>
      </c>
      <c r="J9" s="78" t="n">
        <v>2.1</v>
      </c>
      <c r="K9" s="55" t="n">
        <v>8</v>
      </c>
      <c r="L9" s="56" t="n">
        <v>2000</v>
      </c>
      <c r="M9" s="79" t="s">
        <v>434</v>
      </c>
      <c r="N9" s="79" t="s">
        <v>16</v>
      </c>
      <c r="O9" s="79" t="s">
        <v>441</v>
      </c>
    </row>
    <row r="10">
      <c r="A10" s="74" t="n">
        <v>8</v>
      </c>
      <c r="B10" s="75" t="n">
        <v>5</v>
      </c>
      <c r="C10" s="76" t="n">
        <v>4</v>
      </c>
      <c r="D10" s="76" t="n">
        <v>4</v>
      </c>
      <c r="E10" s="77" t="n">
        <v>62</v>
      </c>
      <c r="F10" s="77" t="n">
        <v>137</v>
      </c>
      <c r="G10" s="77" t="n">
        <v>252</v>
      </c>
      <c r="H10" s="78" t="n">
        <v>0</v>
      </c>
      <c r="I10" s="78" t="n">
        <v>0.1</v>
      </c>
      <c r="J10" s="78" t="n">
        <v>0.2</v>
      </c>
      <c r="K10" s="55" t="n">
        <v>3.2</v>
      </c>
      <c r="L10" s="56" t="n">
        <v>800</v>
      </c>
      <c r="M10" s="79" t="s">
        <v>434</v>
      </c>
      <c r="N10" s="79" t="s">
        <v>16</v>
      </c>
      <c r="O10" s="79" t="s">
        <v>442</v>
      </c>
    </row>
    <row r="11">
      <c r="A11" s="69" t="s">
        <v>26</v>
      </c>
      <c r="B11" s="70" t="n">
        <v>55</v>
      </c>
      <c r="C11" s="52" t="n">
        <v>58</v>
      </c>
      <c r="D11" s="52" t="n">
        <v>56</v>
      </c>
      <c r="E11" s="70" t="n">
        <v>2033</v>
      </c>
      <c r="F11" s="70" t="n">
        <v>4060</v>
      </c>
      <c r="G11" s="70" t="n">
        <v>7511</v>
      </c>
      <c r="H11" s="51" t="n">
        <v>1.4</v>
      </c>
      <c r="I11" s="51" t="n">
        <v>2.7</v>
      </c>
      <c r="J11" s="51" t="n">
        <v>5</v>
      </c>
      <c r="K11" s="52" t="n">
        <v>44.8</v>
      </c>
      <c r="L11" s="53" t="n">
        <v>11200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s">
        <v>443</v>
      </c>
    </row>
    <row r="3">
      <c r="A3" s="2" t="s">
        <v>444</v>
      </c>
    </row>
    <row r="4">
      <c r="A4" s="6" t="s">
        <v>445</v>
      </c>
      <c r="B4" s="54" t="n">
        <v>10000</v>
      </c>
    </row>
    <row r="5">
      <c r="A5" s="6" t="s">
        <v>446</v>
      </c>
      <c r="B5" s="54" t="n">
        <v>55</v>
      </c>
    </row>
    <row r="6">
      <c r="A6" s="6" t="s">
        <v>447</v>
      </c>
      <c r="B6" s="54" t="s">
        <v>448</v>
      </c>
    </row>
    <row r="7">
      <c r="A7" s="6" t="s">
        <v>449</v>
      </c>
      <c r="B7" s="54" t="s">
        <v>450</v>
      </c>
    </row>
    <row r="8">
      <c r="A8" s="6" t="s">
        <v>451</v>
      </c>
      <c r="B8" s="54" t="n">
        <v>1500</v>
      </c>
    </row>
    <row r="9">
      <c r="A9" s="6" t="s">
        <v>452</v>
      </c>
      <c r="B9" s="54" t="n">
        <v>0.87</v>
      </c>
    </row>
    <row r="10">
      <c r="A10" s="6" t="s">
        <v>453</v>
      </c>
      <c r="B10" s="54" t="n">
        <v>1</v>
      </c>
    </row>
    <row r="11">
      <c r="A11" s="6" t="s">
        <v>454</v>
      </c>
      <c r="B11" s="54" t="n">
        <v>0.8</v>
      </c>
    </row>
    <row r="12">
      <c r="A12" s="6" t="s">
        <v>13</v>
      </c>
      <c r="B12" s="54" t="n">
        <v>250</v>
      </c>
    </row>
    <row r="14">
      <c r="A14" s="32" t="s">
        <v>455</v>
      </c>
    </row>
    <row r="15">
      <c r="A15" s="9" t="s">
        <v>28</v>
      </c>
      <c r="B15" s="9" t="s">
        <v>456</v>
      </c>
      <c r="C15" s="9" t="s">
        <v>457</v>
      </c>
      <c r="D15" s="9" t="s">
        <v>458</v>
      </c>
      <c r="E15" s="9" t="s">
        <v>31</v>
      </c>
      <c r="F15" s="9" t="s">
        <v>459</v>
      </c>
      <c r="G15" s="9" t="s">
        <v>460</v>
      </c>
    </row>
    <row r="16">
      <c r="A16" s="80" t="s">
        <v>33</v>
      </c>
      <c r="B16" s="54" t="s">
        <v>461</v>
      </c>
      <c r="C16" s="77" t="n">
        <v>3248</v>
      </c>
      <c r="D16" s="81" t="n">
        <v>10</v>
      </c>
      <c r="E16" s="78" t="n">
        <v>2.2</v>
      </c>
      <c r="F16" s="55" t="n">
        <v>35.8</v>
      </c>
      <c r="G16" s="81" t="n">
        <v>8960</v>
      </c>
    </row>
    <row r="17">
      <c r="A17" s="80" t="s">
        <v>34</v>
      </c>
      <c r="B17" s="54" t="s">
        <v>462</v>
      </c>
      <c r="C17" s="77" t="n">
        <v>4060</v>
      </c>
      <c r="D17" s="81" t="n">
        <v>12</v>
      </c>
      <c r="E17" s="78" t="n">
        <v>2.7</v>
      </c>
      <c r="F17" s="55" t="n">
        <v>44.8</v>
      </c>
      <c r="G17" s="81" t="n">
        <v>11200</v>
      </c>
    </row>
    <row r="18">
      <c r="A18" s="59" t="s">
        <v>35</v>
      </c>
      <c r="B18" s="82" t="s">
        <v>463</v>
      </c>
      <c r="C18" s="83" t="n">
        <v>5075</v>
      </c>
      <c r="D18" s="84" t="n">
        <v>15</v>
      </c>
      <c r="E18" s="85" t="n">
        <v>3.4</v>
      </c>
      <c r="F18" s="57" t="n">
        <v>56</v>
      </c>
      <c r="G18" s="84" t="n">
        <v>14000</v>
      </c>
    </row>
    <row r="19">
      <c r="A19" s="80" t="s">
        <v>464</v>
      </c>
      <c r="B19" s="54" t="s">
        <v>465</v>
      </c>
      <c r="C19" s="77" t="n">
        <v>6090</v>
      </c>
      <c r="D19" s="81" t="n">
        <v>18</v>
      </c>
      <c r="E19" s="78" t="n">
        <v>4.1</v>
      </c>
      <c r="F19" s="55" t="n">
        <v>67.2</v>
      </c>
      <c r="G19" s="81" t="n">
        <v>16800</v>
      </c>
    </row>
    <row r="21" ht="22" customHeight="1">
      <c r="A21" s="86" t="s">
        <v>466</v>
      </c>
    </row>
    <row r="22" ht="18" customHeight="1">
      <c r="A22" s="87" t="s">
        <v>326</v>
      </c>
      <c r="B22" s="87" t="s">
        <v>467</v>
      </c>
      <c r="C22" s="87" t="s">
        <v>457</v>
      </c>
      <c r="D22" s="87" t="s">
        <v>31</v>
      </c>
    </row>
    <row r="23" ht="14" customHeight="1">
      <c r="A23" s="89" t="n">
        <v>1</v>
      </c>
      <c r="B23" s="89" t="n">
        <v>1</v>
      </c>
      <c r="C23" s="90" t="n">
        <v>4804.6</v>
      </c>
      <c r="D23" s="91" t="n">
        <v>3.2</v>
      </c>
    </row>
    <row r="24" ht="14" customHeight="1">
      <c r="A24" s="89" t="n">
        <v>2</v>
      </c>
      <c r="B24" s="89" t="n">
        <v>2</v>
      </c>
      <c r="C24" s="90" t="n">
        <v>4890.5</v>
      </c>
      <c r="D24" s="91" t="n">
        <v>3.26</v>
      </c>
    </row>
    <row r="25" ht="14" customHeight="1">
      <c r="A25" s="89" t="n">
        <v>3</v>
      </c>
      <c r="B25" s="89" t="n">
        <v>3</v>
      </c>
      <c r="C25" s="90" t="n">
        <v>4938.2</v>
      </c>
      <c r="D25" s="91" t="n">
        <v>3.29</v>
      </c>
    </row>
    <row r="26" ht="14" customHeight="1">
      <c r="A26" s="89" t="n">
        <v>4</v>
      </c>
      <c r="B26" s="89" t="n">
        <v>4</v>
      </c>
      <c r="C26" s="90" t="n">
        <v>4973</v>
      </c>
      <c r="D26" s="91" t="n">
        <v>3.32</v>
      </c>
    </row>
    <row r="27" ht="14" customHeight="1">
      <c r="A27" s="89" t="n">
        <v>5</v>
      </c>
      <c r="B27" s="89" t="n">
        <v>5</v>
      </c>
      <c r="C27" s="90" t="n">
        <v>5001.2</v>
      </c>
      <c r="D27" s="91" t="n">
        <v>3.33</v>
      </c>
    </row>
    <row r="28">
      <c r="A28" s="89" t="n">
        <v>6</v>
      </c>
      <c r="B28" s="89" t="n">
        <v>6</v>
      </c>
      <c r="C28" s="90" t="n">
        <v>5033.1</v>
      </c>
      <c r="D28" s="91" t="n">
        <v>3.36</v>
      </c>
    </row>
    <row r="29">
      <c r="A29" s="89" t="n">
        <v>7</v>
      </c>
      <c r="B29" s="89" t="n">
        <v>7</v>
      </c>
      <c r="C29" s="90" t="n">
        <v>5053.8</v>
      </c>
      <c r="D29" s="91" t="n">
        <v>3.37</v>
      </c>
    </row>
    <row r="30">
      <c r="A30" s="89" t="n">
        <v>8</v>
      </c>
      <c r="B30" s="89" t="n">
        <v>8</v>
      </c>
      <c r="C30" s="90" t="n">
        <v>5074.6</v>
      </c>
      <c r="D30" s="91" t="n">
        <v>3.38</v>
      </c>
    </row>
    <row r="31">
      <c r="A31" s="89" t="n">
        <v>9</v>
      </c>
      <c r="B31" s="89" t="n">
        <v>9</v>
      </c>
      <c r="C31" s="90" t="n">
        <v>5095.3</v>
      </c>
      <c r="D31" s="91" t="n">
        <v>3.4</v>
      </c>
    </row>
    <row r="32">
      <c r="A32" s="89" t="n">
        <v>10</v>
      </c>
      <c r="B32" s="89" t="n">
        <v>10</v>
      </c>
      <c r="C32" s="90" t="n">
        <v>5113.3</v>
      </c>
      <c r="D32" s="91" t="n">
        <v>3.41</v>
      </c>
    </row>
    <row r="33">
      <c r="A33" s="89" t="n">
        <v>11</v>
      </c>
      <c r="B33" s="89" t="n">
        <v>11</v>
      </c>
      <c r="C33" s="90" t="n">
        <v>5132.2</v>
      </c>
      <c r="D33" s="91" t="n">
        <v>3.42</v>
      </c>
    </row>
    <row r="34">
      <c r="A34" s="89" t="n">
        <v>12</v>
      </c>
      <c r="B34" s="89" t="n">
        <v>12</v>
      </c>
      <c r="C34" s="90" t="n">
        <v>5149.4</v>
      </c>
      <c r="D34" s="91" t="n">
        <v>3.43</v>
      </c>
    </row>
    <row r="35">
      <c r="A35" s="89" t="n">
        <v>13</v>
      </c>
      <c r="B35" s="89" t="n">
        <v>13</v>
      </c>
      <c r="C35" s="90" t="n">
        <v>5165.8</v>
      </c>
      <c r="D35" s="91" t="n">
        <v>3.44</v>
      </c>
    </row>
    <row r="36">
      <c r="A36" s="89" t="n">
        <v>14</v>
      </c>
      <c r="B36" s="89" t="n">
        <v>14</v>
      </c>
      <c r="C36" s="90" t="n">
        <v>5180.7</v>
      </c>
      <c r="D36" s="91" t="n">
        <v>3.45</v>
      </c>
    </row>
    <row r="37">
      <c r="A37" s="89" t="n">
        <v>15</v>
      </c>
      <c r="B37" s="89" t="n">
        <v>15</v>
      </c>
      <c r="C37" s="90" t="n">
        <v>5197.5</v>
      </c>
      <c r="D37" s="91" t="n">
        <v>3.47</v>
      </c>
    </row>
    <row r="38">
      <c r="A38" s="89" t="n">
        <v>16</v>
      </c>
      <c r="B38" s="89" t="n">
        <v>16</v>
      </c>
      <c r="C38" s="90" t="n">
        <v>5210.3</v>
      </c>
      <c r="D38" s="91" t="n">
        <v>3.47</v>
      </c>
    </row>
    <row r="39">
      <c r="A39" s="89" t="n">
        <v>17</v>
      </c>
      <c r="B39" s="89" t="n">
        <v>17</v>
      </c>
      <c r="C39" s="90" t="n">
        <v>5224.3</v>
      </c>
      <c r="D39" s="91" t="n">
        <v>3.48</v>
      </c>
    </row>
    <row r="40">
      <c r="A40" s="89" t="n">
        <v>18</v>
      </c>
      <c r="B40" s="89" t="n">
        <v>18</v>
      </c>
      <c r="C40" s="90" t="n">
        <v>5234.4</v>
      </c>
      <c r="D40" s="91" t="n">
        <v>3.49</v>
      </c>
    </row>
    <row r="41">
      <c r="A41" s="89" t="n">
        <v>19</v>
      </c>
      <c r="B41" s="89" t="n">
        <v>19</v>
      </c>
      <c r="C41" s="90" t="n">
        <v>5246.4</v>
      </c>
      <c r="D41" s="91" t="n">
        <v>3.5</v>
      </c>
    </row>
    <row r="42">
      <c r="A42" s="89" t="n">
        <v>20</v>
      </c>
      <c r="B42" s="89" t="n">
        <v>20</v>
      </c>
      <c r="C42" s="90" t="n">
        <v>5258.6</v>
      </c>
      <c r="D42" s="91" t="n">
        <v>3.51</v>
      </c>
    </row>
    <row r="43">
      <c r="A43" s="89" t="n">
        <v>21</v>
      </c>
      <c r="B43" s="89" t="n">
        <v>21</v>
      </c>
      <c r="C43" s="90" t="n">
        <v>5271.6</v>
      </c>
      <c r="D43" s="91" t="n">
        <v>3.51</v>
      </c>
    </row>
    <row r="44">
      <c r="A44" s="89" t="n">
        <v>22</v>
      </c>
      <c r="B44" s="89" t="n">
        <v>22</v>
      </c>
      <c r="C44" s="90" t="n">
        <v>5284.3</v>
      </c>
      <c r="D44" s="91" t="n">
        <v>3.52</v>
      </c>
    </row>
    <row r="45">
      <c r="A45" s="89" t="n">
        <v>23</v>
      </c>
      <c r="B45" s="89" t="n">
        <v>23</v>
      </c>
      <c r="C45" s="90" t="n">
        <v>5297.3</v>
      </c>
      <c r="D45" s="91" t="n">
        <v>3.53</v>
      </c>
    </row>
    <row r="46">
      <c r="A46" s="89" t="n">
        <v>24</v>
      </c>
      <c r="B46" s="89" t="n">
        <v>24</v>
      </c>
      <c r="C46" s="90" t="n">
        <v>5308.5</v>
      </c>
      <c r="D46" s="91" t="n">
        <v>3.54</v>
      </c>
    </row>
    <row r="47">
      <c r="A47" s="89" t="n">
        <v>25</v>
      </c>
      <c r="B47" s="89" t="n">
        <v>25</v>
      </c>
      <c r="C47" s="90" t="n">
        <v>5317.8</v>
      </c>
      <c r="D47" s="91" t="n">
        <v>3.55</v>
      </c>
    </row>
    <row r="48">
      <c r="A48" s="89" t="n">
        <v>26</v>
      </c>
      <c r="B48" s="89" t="n">
        <v>26</v>
      </c>
      <c r="C48" s="90" t="n">
        <v>5328.2</v>
      </c>
      <c r="D48" s="91" t="n">
        <v>3.55</v>
      </c>
    </row>
    <row r="49">
      <c r="A49" s="89" t="n">
        <v>27</v>
      </c>
      <c r="B49" s="89" t="n">
        <v>27</v>
      </c>
      <c r="C49" s="90" t="n">
        <v>5337.2</v>
      </c>
      <c r="D49" s="91" t="n">
        <v>3.56</v>
      </c>
    </row>
    <row r="50">
      <c r="A50" s="89" t="n">
        <v>28</v>
      </c>
      <c r="B50" s="89" t="n">
        <v>28</v>
      </c>
      <c r="C50" s="90" t="n">
        <v>5350.2</v>
      </c>
      <c r="D50" s="91" t="n">
        <v>3.57</v>
      </c>
    </row>
    <row r="51">
      <c r="A51" s="89" t="n">
        <v>29</v>
      </c>
      <c r="B51" s="89" t="n">
        <v>29</v>
      </c>
      <c r="C51" s="90" t="n">
        <v>5361.3</v>
      </c>
      <c r="D51" s="91" t="n">
        <v>3.57</v>
      </c>
    </row>
    <row r="52">
      <c r="A52" s="89" t="n">
        <v>30</v>
      </c>
      <c r="B52" s="89" t="n">
        <v>30</v>
      </c>
      <c r="C52" s="90" t="n">
        <v>5371.2</v>
      </c>
      <c r="D52" s="91" t="n">
        <v>3.58</v>
      </c>
    </row>
    <row r="53">
      <c r="A53" s="89" t="n">
        <v>31</v>
      </c>
      <c r="B53" s="89" t="n">
        <v>31</v>
      </c>
      <c r="C53" s="90" t="n">
        <v>5381.7</v>
      </c>
      <c r="D53" s="91" t="n">
        <v>3.59</v>
      </c>
    </row>
    <row r="54">
      <c r="A54" s="89" t="n">
        <v>32</v>
      </c>
      <c r="B54" s="89" t="n">
        <v>32</v>
      </c>
      <c r="C54" s="90" t="n">
        <v>5390.6</v>
      </c>
      <c r="D54" s="91" t="n">
        <v>3.59</v>
      </c>
    </row>
    <row r="55">
      <c r="A55" s="89" t="n">
        <v>33</v>
      </c>
      <c r="B55" s="89" t="n">
        <v>33</v>
      </c>
      <c r="C55" s="90" t="n">
        <v>5400.9</v>
      </c>
      <c r="D55" s="91" t="n">
        <v>3.6</v>
      </c>
    </row>
    <row r="56">
      <c r="A56" s="89" t="n">
        <v>34</v>
      </c>
      <c r="B56" s="89" t="n">
        <v>34</v>
      </c>
      <c r="C56" s="90" t="n">
        <v>5408.9</v>
      </c>
      <c r="D56" s="91" t="n">
        <v>3.61</v>
      </c>
    </row>
    <row r="57">
      <c r="A57" s="89" t="n">
        <v>35</v>
      </c>
      <c r="B57" s="89" t="n">
        <v>35</v>
      </c>
      <c r="C57" s="90" t="n">
        <v>5420.1</v>
      </c>
      <c r="D57" s="91" t="n">
        <v>3.61</v>
      </c>
    </row>
    <row r="58">
      <c r="A58" s="89" t="n">
        <v>36</v>
      </c>
      <c r="B58" s="89" t="n">
        <v>36</v>
      </c>
      <c r="C58" s="90" t="n">
        <v>5429.4</v>
      </c>
      <c r="D58" s="91" t="n">
        <v>3.62</v>
      </c>
    </row>
    <row r="59">
      <c r="A59" s="89" t="n">
        <v>37</v>
      </c>
      <c r="B59" s="89" t="n">
        <v>37</v>
      </c>
      <c r="C59" s="90" t="n">
        <v>5438.9</v>
      </c>
      <c r="D59" s="91" t="n">
        <v>3.63</v>
      </c>
    </row>
    <row r="60">
      <c r="A60" s="89" t="n">
        <v>38</v>
      </c>
      <c r="B60" s="89" t="n">
        <v>38</v>
      </c>
      <c r="C60" s="90" t="n">
        <v>5447.4</v>
      </c>
      <c r="D60" s="91" t="n">
        <v>3.63</v>
      </c>
    </row>
    <row r="61">
      <c r="A61" s="89" t="n">
        <v>39</v>
      </c>
      <c r="B61" s="89" t="n">
        <v>39</v>
      </c>
      <c r="C61" s="90" t="n">
        <v>5456.3</v>
      </c>
      <c r="D61" s="91" t="n">
        <v>3.64</v>
      </c>
    </row>
    <row r="62">
      <c r="A62" s="89" t="n">
        <v>40</v>
      </c>
      <c r="B62" s="89" t="n">
        <v>40</v>
      </c>
      <c r="C62" s="90" t="n">
        <v>5464.9</v>
      </c>
      <c r="D62" s="91" t="n">
        <v>3.64</v>
      </c>
    </row>
    <row r="63">
      <c r="A63" s="89" t="n">
        <v>41</v>
      </c>
      <c r="B63" s="89" t="n">
        <v>41</v>
      </c>
      <c r="C63" s="90" t="n">
        <v>5476.2</v>
      </c>
      <c r="D63" s="91" t="n">
        <v>3.65</v>
      </c>
    </row>
    <row r="64">
      <c r="A64" s="89" t="n">
        <v>42</v>
      </c>
      <c r="B64" s="89" t="n">
        <v>42</v>
      </c>
      <c r="C64" s="90" t="n">
        <v>5485.2</v>
      </c>
      <c r="D64" s="91" t="n">
        <v>3.66</v>
      </c>
    </row>
    <row r="65">
      <c r="A65" s="89" t="n">
        <v>43</v>
      </c>
      <c r="B65" s="89" t="n">
        <v>43</v>
      </c>
      <c r="C65" s="90" t="n">
        <v>5494.8</v>
      </c>
      <c r="D65" s="91" t="n">
        <v>3.66</v>
      </c>
    </row>
    <row r="66">
      <c r="A66" s="89" t="n">
        <v>44</v>
      </c>
      <c r="B66" s="89" t="n">
        <v>44</v>
      </c>
      <c r="C66" s="90" t="n">
        <v>5505.3</v>
      </c>
      <c r="D66" s="91" t="n">
        <v>3.67</v>
      </c>
    </row>
    <row r="67">
      <c r="A67" s="89" t="n">
        <v>45</v>
      </c>
      <c r="B67" s="89" t="n">
        <v>45</v>
      </c>
      <c r="C67" s="90" t="n">
        <v>5514.3</v>
      </c>
      <c r="D67" s="91" t="n">
        <v>3.68</v>
      </c>
    </row>
    <row r="68">
      <c r="A68" s="89" t="n">
        <v>46</v>
      </c>
      <c r="B68" s="89" t="n">
        <v>46</v>
      </c>
      <c r="C68" s="90" t="n">
        <v>5524.5</v>
      </c>
      <c r="D68" s="91" t="n">
        <v>3.68</v>
      </c>
    </row>
    <row r="69">
      <c r="A69" s="89" t="n">
        <v>47</v>
      </c>
      <c r="B69" s="89" t="n">
        <v>47</v>
      </c>
      <c r="C69" s="90" t="n">
        <v>5533.6</v>
      </c>
      <c r="D69" s="91" t="n">
        <v>3.69</v>
      </c>
    </row>
    <row r="70">
      <c r="A70" s="89" t="n">
        <v>48</v>
      </c>
      <c r="B70" s="89" t="n">
        <v>48</v>
      </c>
      <c r="C70" s="90" t="n">
        <v>5544.5</v>
      </c>
      <c r="D70" s="91" t="n">
        <v>3.7</v>
      </c>
    </row>
    <row r="71">
      <c r="A71" s="89" t="n">
        <v>49</v>
      </c>
      <c r="B71" s="89" t="n">
        <v>49</v>
      </c>
      <c r="C71" s="90" t="n">
        <v>5553.6</v>
      </c>
      <c r="D71" s="91" t="n">
        <v>3.7</v>
      </c>
    </row>
    <row r="72">
      <c r="A72" s="89" t="n">
        <v>50</v>
      </c>
      <c r="B72" s="89" t="n">
        <v>50</v>
      </c>
      <c r="C72" s="90" t="n">
        <v>5564.3</v>
      </c>
      <c r="D72" s="91" t="n">
        <v>3.71</v>
      </c>
    </row>
    <row r="73">
      <c r="A73" s="93" t="n">
        <v>51</v>
      </c>
      <c r="B73" s="93" t="n">
        <v>51</v>
      </c>
      <c r="C73" s="94" t="n">
        <v>5575.7</v>
      </c>
      <c r="D73" s="95" t="n">
        <v>3.72</v>
      </c>
    </row>
    <row r="74">
      <c r="A74" s="93" t="n">
        <v>52</v>
      </c>
      <c r="B74" s="93" t="n">
        <v>52</v>
      </c>
      <c r="C74" s="94" t="n">
        <v>5583.8</v>
      </c>
      <c r="D74" s="95" t="n">
        <v>3.72</v>
      </c>
    </row>
    <row r="75">
      <c r="A75" s="93" t="n">
        <v>53</v>
      </c>
      <c r="B75" s="93" t="n">
        <v>53</v>
      </c>
      <c r="C75" s="94" t="n">
        <v>5594.2</v>
      </c>
      <c r="D75" s="95" t="n">
        <v>3.73</v>
      </c>
    </row>
    <row r="76">
      <c r="A76" s="93" t="n">
        <v>54</v>
      </c>
      <c r="B76" s="93" t="n">
        <v>54</v>
      </c>
      <c r="C76" s="94" t="n">
        <v>5603.2</v>
      </c>
      <c r="D76" s="95" t="n">
        <v>3.74</v>
      </c>
    </row>
    <row r="77">
      <c r="A77" s="93" t="n">
        <v>55</v>
      </c>
      <c r="B77" s="93" t="n">
        <v>55</v>
      </c>
      <c r="C77" s="94" t="n">
        <v>5614.6</v>
      </c>
      <c r="D77" s="95" t="n">
        <v>3.74</v>
      </c>
    </row>
    <row r="78">
      <c r="A78" s="93" t="n">
        <v>56</v>
      </c>
      <c r="B78" s="93" t="n">
        <v>56</v>
      </c>
      <c r="C78" s="94" t="n">
        <v>5625.8</v>
      </c>
      <c r="D78" s="95" t="n">
        <v>3.75</v>
      </c>
    </row>
    <row r="79">
      <c r="A79" s="93" t="n">
        <v>57</v>
      </c>
      <c r="B79" s="93" t="n">
        <v>57</v>
      </c>
      <c r="C79" s="94" t="n">
        <v>5636.5</v>
      </c>
      <c r="D79" s="95" t="n">
        <v>3.76</v>
      </c>
    </row>
    <row r="80">
      <c r="A80" s="93" t="n">
        <v>58</v>
      </c>
      <c r="B80" s="93" t="n">
        <v>58</v>
      </c>
      <c r="C80" s="94" t="n">
        <v>5645.1</v>
      </c>
      <c r="D80" s="95" t="n">
        <v>3.76</v>
      </c>
    </row>
    <row r="81">
      <c r="A81" s="93" t="n">
        <v>59</v>
      </c>
      <c r="B81" s="93" t="n">
        <v>59</v>
      </c>
      <c r="C81" s="94" t="n">
        <v>5654.5</v>
      </c>
      <c r="D81" s="95" t="n">
        <v>3.77</v>
      </c>
    </row>
    <row r="82">
      <c r="A82" s="93" t="n">
        <v>60</v>
      </c>
      <c r="B82" s="93" t="n">
        <v>60</v>
      </c>
      <c r="C82" s="94" t="n">
        <v>5664.4</v>
      </c>
      <c r="D82" s="95" t="n">
        <v>3.78</v>
      </c>
    </row>
    <row r="83">
      <c r="A83" s="93" t="n">
        <v>61</v>
      </c>
      <c r="B83" s="93" t="n">
        <v>61</v>
      </c>
      <c r="C83" s="94" t="n">
        <v>5675.5</v>
      </c>
      <c r="D83" s="95" t="n">
        <v>3.78</v>
      </c>
    </row>
    <row r="84">
      <c r="A84" s="93" t="n">
        <v>62</v>
      </c>
      <c r="B84" s="93" t="n">
        <v>62</v>
      </c>
      <c r="C84" s="94" t="n">
        <v>5688.2</v>
      </c>
      <c r="D84" s="95" t="n">
        <v>3.79</v>
      </c>
    </row>
    <row r="85">
      <c r="A85" s="93" t="n">
        <v>63</v>
      </c>
      <c r="B85" s="93" t="n">
        <v>63</v>
      </c>
      <c r="C85" s="94" t="n">
        <v>5697.1</v>
      </c>
      <c r="D85" s="95" t="n">
        <v>3.8</v>
      </c>
    </row>
    <row r="86">
      <c r="A86" s="93" t="n">
        <v>64</v>
      </c>
      <c r="B86" s="93" t="n">
        <v>64</v>
      </c>
      <c r="C86" s="94" t="n">
        <v>5707.6</v>
      </c>
      <c r="D86" s="95" t="n">
        <v>3.81</v>
      </c>
    </row>
    <row r="87">
      <c r="A87" s="93" t="n">
        <v>65</v>
      </c>
      <c r="B87" s="93" t="n">
        <v>65</v>
      </c>
      <c r="C87" s="94" t="n">
        <v>5720.5</v>
      </c>
      <c r="D87" s="95" t="n">
        <v>3.81</v>
      </c>
    </row>
    <row r="88">
      <c r="A88" s="93" t="n">
        <v>66</v>
      </c>
      <c r="B88" s="93" t="n">
        <v>66</v>
      </c>
      <c r="C88" s="94" t="n">
        <v>5730</v>
      </c>
      <c r="D88" s="95" t="n">
        <v>3.82</v>
      </c>
    </row>
    <row r="89">
      <c r="A89" s="93" t="n">
        <v>67</v>
      </c>
      <c r="B89" s="93" t="n">
        <v>67</v>
      </c>
      <c r="C89" s="94" t="n">
        <v>5741.8</v>
      </c>
      <c r="D89" s="95" t="n">
        <v>3.83</v>
      </c>
    </row>
    <row r="90">
      <c r="A90" s="93" t="n">
        <v>68</v>
      </c>
      <c r="B90" s="93" t="n">
        <v>68</v>
      </c>
      <c r="C90" s="94" t="n">
        <v>5753.4</v>
      </c>
      <c r="D90" s="95" t="n">
        <v>3.84</v>
      </c>
    </row>
    <row r="91">
      <c r="A91" s="93" t="n">
        <v>69</v>
      </c>
      <c r="B91" s="93" t="n">
        <v>69</v>
      </c>
      <c r="C91" s="94" t="n">
        <v>5764.4</v>
      </c>
      <c r="D91" s="95" t="n">
        <v>3.84</v>
      </c>
    </row>
    <row r="92">
      <c r="A92" s="93" t="n">
        <v>70</v>
      </c>
      <c r="B92" s="93" t="n">
        <v>70</v>
      </c>
      <c r="C92" s="94" t="n">
        <v>5777.8</v>
      </c>
      <c r="D92" s="95" t="n">
        <v>3.85</v>
      </c>
    </row>
    <row r="93">
      <c r="A93" s="93" t="n">
        <v>71</v>
      </c>
      <c r="B93" s="93" t="n">
        <v>71</v>
      </c>
      <c r="C93" s="94" t="n">
        <v>5788.6</v>
      </c>
      <c r="D93" s="95" t="n">
        <v>3.86</v>
      </c>
    </row>
    <row r="94">
      <c r="A94" s="93" t="n">
        <v>72</v>
      </c>
      <c r="B94" s="93" t="n">
        <v>72</v>
      </c>
      <c r="C94" s="94" t="n">
        <v>5800.1</v>
      </c>
      <c r="D94" s="95" t="n">
        <v>3.87</v>
      </c>
    </row>
    <row r="95">
      <c r="A95" s="93" t="n">
        <v>73</v>
      </c>
      <c r="B95" s="93" t="n">
        <v>73</v>
      </c>
      <c r="C95" s="94" t="n">
        <v>5812.6</v>
      </c>
      <c r="D95" s="95" t="n">
        <v>3.88</v>
      </c>
    </row>
    <row r="96">
      <c r="A96" s="93" t="n">
        <v>74</v>
      </c>
      <c r="B96" s="93" t="n">
        <v>74</v>
      </c>
      <c r="C96" s="94" t="n">
        <v>5824.2</v>
      </c>
      <c r="D96" s="95" t="n">
        <v>3.88</v>
      </c>
    </row>
    <row r="97">
      <c r="A97" s="93" t="n">
        <v>75</v>
      </c>
      <c r="B97" s="93" t="n">
        <v>75</v>
      </c>
      <c r="C97" s="94" t="n">
        <v>5837.7</v>
      </c>
      <c r="D97" s="95" t="n">
        <v>3.89</v>
      </c>
    </row>
    <row r="98">
      <c r="A98" s="93" t="n">
        <v>76</v>
      </c>
      <c r="B98" s="93" t="n">
        <v>76</v>
      </c>
      <c r="C98" s="94" t="n">
        <v>5850.9</v>
      </c>
      <c r="D98" s="95" t="n">
        <v>3.9</v>
      </c>
    </row>
    <row r="99">
      <c r="A99" s="93" t="n">
        <v>77</v>
      </c>
      <c r="B99" s="93" t="n">
        <v>77</v>
      </c>
      <c r="C99" s="94" t="n">
        <v>5863.3</v>
      </c>
      <c r="D99" s="95" t="n">
        <v>3.91</v>
      </c>
    </row>
    <row r="100">
      <c r="A100" s="93" t="n">
        <v>78</v>
      </c>
      <c r="B100" s="93" t="n">
        <v>78</v>
      </c>
      <c r="C100" s="94" t="n">
        <v>5874.7</v>
      </c>
      <c r="D100" s="95" t="n">
        <v>3.92</v>
      </c>
    </row>
    <row r="101">
      <c r="A101" s="93" t="n">
        <v>79</v>
      </c>
      <c r="B101" s="93" t="n">
        <v>79</v>
      </c>
      <c r="C101" s="94" t="n">
        <v>5888.9</v>
      </c>
      <c r="D101" s="95" t="n">
        <v>3.93</v>
      </c>
    </row>
    <row r="102">
      <c r="A102" s="93" t="n">
        <v>80</v>
      </c>
      <c r="B102" s="93" t="n">
        <v>80</v>
      </c>
      <c r="C102" s="94" t="n">
        <v>5902.9</v>
      </c>
      <c r="D102" s="95" t="n">
        <v>3.94</v>
      </c>
    </row>
    <row r="103">
      <c r="A103" s="97" t="n">
        <v>81</v>
      </c>
      <c r="B103" s="97" t="n">
        <v>81</v>
      </c>
      <c r="C103" s="98" t="n">
        <v>5918.1</v>
      </c>
      <c r="D103" s="99" t="n">
        <v>3.95</v>
      </c>
    </row>
    <row r="104">
      <c r="A104" s="97" t="n">
        <v>82</v>
      </c>
      <c r="B104" s="97" t="n">
        <v>82</v>
      </c>
      <c r="C104" s="98" t="n">
        <v>5935.1</v>
      </c>
      <c r="D104" s="99" t="n">
        <v>3.96</v>
      </c>
    </row>
    <row r="105">
      <c r="A105" s="97" t="n">
        <v>83</v>
      </c>
      <c r="B105" s="97" t="n">
        <v>83</v>
      </c>
      <c r="C105" s="98" t="n">
        <v>5951.6</v>
      </c>
      <c r="D105" s="99" t="n">
        <v>3.97</v>
      </c>
    </row>
    <row r="106">
      <c r="A106" s="97" t="n">
        <v>84</v>
      </c>
      <c r="B106" s="97" t="n">
        <v>84</v>
      </c>
      <c r="C106" s="98" t="n">
        <v>5969.7</v>
      </c>
      <c r="D106" s="99" t="n">
        <v>3.98</v>
      </c>
    </row>
    <row r="107">
      <c r="A107" s="97" t="n">
        <v>85</v>
      </c>
      <c r="B107" s="97" t="n">
        <v>85</v>
      </c>
      <c r="C107" s="98" t="n">
        <v>5983.3</v>
      </c>
      <c r="D107" s="99" t="n">
        <v>3.99</v>
      </c>
    </row>
    <row r="108">
      <c r="A108" s="97" t="n">
        <v>86</v>
      </c>
      <c r="B108" s="97" t="n">
        <v>86</v>
      </c>
      <c r="C108" s="98" t="n">
        <v>6001</v>
      </c>
      <c r="D108" s="99" t="n">
        <v>4</v>
      </c>
    </row>
    <row r="109">
      <c r="A109" s="97" t="n">
        <v>87</v>
      </c>
      <c r="B109" s="97" t="n">
        <v>87</v>
      </c>
      <c r="C109" s="98" t="n">
        <v>6017.7</v>
      </c>
      <c r="D109" s="99" t="n">
        <v>4.01</v>
      </c>
    </row>
    <row r="110">
      <c r="A110" s="97" t="n">
        <v>88</v>
      </c>
      <c r="B110" s="97" t="n">
        <v>88</v>
      </c>
      <c r="C110" s="98" t="n">
        <v>6035.8</v>
      </c>
      <c r="D110" s="99" t="n">
        <v>4.02</v>
      </c>
    </row>
    <row r="111">
      <c r="A111" s="97" t="n">
        <v>89</v>
      </c>
      <c r="B111" s="97" t="n">
        <v>89</v>
      </c>
      <c r="C111" s="98" t="n">
        <v>6056</v>
      </c>
      <c r="D111" s="99" t="n">
        <v>4.04</v>
      </c>
    </row>
    <row r="112">
      <c r="A112" s="97" t="n">
        <v>90</v>
      </c>
      <c r="B112" s="97" t="n">
        <v>90</v>
      </c>
      <c r="C112" s="98" t="n">
        <v>6075.5</v>
      </c>
      <c r="D112" s="99" t="n">
        <v>4.05</v>
      </c>
    </row>
    <row r="113">
      <c r="A113" s="97" t="n">
        <v>91</v>
      </c>
      <c r="B113" s="97" t="n">
        <v>91</v>
      </c>
      <c r="C113" s="98" t="n">
        <v>6102</v>
      </c>
      <c r="D113" s="99" t="n">
        <v>4.07</v>
      </c>
    </row>
    <row r="114">
      <c r="A114" s="97" t="n">
        <v>92</v>
      </c>
      <c r="B114" s="97" t="n">
        <v>92</v>
      </c>
      <c r="C114" s="98" t="n">
        <v>6124.8</v>
      </c>
      <c r="D114" s="99" t="n">
        <v>4.08</v>
      </c>
    </row>
    <row r="115">
      <c r="A115" s="97" t="n">
        <v>93</v>
      </c>
      <c r="B115" s="97" t="n">
        <v>93</v>
      </c>
      <c r="C115" s="98" t="n">
        <v>6148.8</v>
      </c>
      <c r="D115" s="99" t="n">
        <v>4.1</v>
      </c>
    </row>
    <row r="116">
      <c r="A116" s="97" t="n">
        <v>94</v>
      </c>
      <c r="B116" s="97" t="n">
        <v>94</v>
      </c>
      <c r="C116" s="98" t="n">
        <v>6176.6</v>
      </c>
      <c r="D116" s="99" t="n">
        <v>4.12</v>
      </c>
    </row>
    <row r="117">
      <c r="A117" s="97" t="n">
        <v>95</v>
      </c>
      <c r="B117" s="97" t="n">
        <v>95</v>
      </c>
      <c r="C117" s="98" t="n">
        <v>6209.4</v>
      </c>
      <c r="D117" s="99" t="n">
        <v>4.14</v>
      </c>
    </row>
    <row r="118">
      <c r="A118" s="97" t="n">
        <v>96</v>
      </c>
      <c r="B118" s="97" t="n">
        <v>96</v>
      </c>
      <c r="C118" s="98" t="n">
        <v>6243.8</v>
      </c>
      <c r="D118" s="99" t="n">
        <v>4.16</v>
      </c>
    </row>
    <row r="119">
      <c r="A119" s="97" t="n">
        <v>97</v>
      </c>
      <c r="B119" s="97" t="n">
        <v>97</v>
      </c>
      <c r="C119" s="98" t="n">
        <v>6294.3</v>
      </c>
      <c r="D119" s="99" t="n">
        <v>4.2</v>
      </c>
    </row>
    <row r="120">
      <c r="A120" s="97" t="n">
        <v>98</v>
      </c>
      <c r="B120" s="97" t="n">
        <v>98</v>
      </c>
      <c r="C120" s="98" t="n">
        <v>6353</v>
      </c>
      <c r="D120" s="99" t="n">
        <v>4.24</v>
      </c>
    </row>
    <row r="121">
      <c r="A121" s="97" t="n">
        <v>99</v>
      </c>
      <c r="B121" s="97" t="n">
        <v>99</v>
      </c>
      <c r="C121" s="98" t="n">
        <v>6444</v>
      </c>
      <c r="D121" s="99" t="n">
        <v>4.3</v>
      </c>
    </row>
    <row r="122">
      <c r="A122" s="97" t="n">
        <v>100</v>
      </c>
      <c r="B122" s="97" t="n">
        <v>100</v>
      </c>
      <c r="C122" s="98" t="n">
        <v>6842.9</v>
      </c>
      <c r="D122" s="99" t="n">
        <v>4.56</v>
      </c>
    </row>
  </sheetData>
  <mergeCells count="4">
    <mergeCell ref="A21:F21"/>
    <mergeCell ref="A1:J1"/>
    <mergeCell ref="A14:J14"/>
    <mergeCell ref="A3:J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91"/>
  <sheetViews>
    <sheetView workbookViewId="0">
      <pane ySplit="2" topLeftCell="A3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7" customWidth="1" min="3" max="3"/>
    <col width="5" customWidth="1" min="4" max="4"/>
    <col width="36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35" customWidth="1" min="12" max="12"/>
    <col width="10" customWidth="1" min="13" max="13"/>
    <col width="10" customWidth="1" min="14" max="14"/>
    <col width="28" customWidth="1" min="15" max="15"/>
  </cols>
  <sheetData>
    <row r="1" ht="24" customHeight="1">
      <c r="A1" s="100" t="s">
        <v>468</v>
      </c>
    </row>
    <row r="2" ht="18" customHeight="1">
      <c r="A2" s="101" t="s">
        <v>84</v>
      </c>
      <c r="B2" s="101" t="s">
        <v>85</v>
      </c>
      <c r="C2" s="101" t="s">
        <v>469</v>
      </c>
      <c r="D2" s="101" t="s">
        <v>470</v>
      </c>
      <c r="E2" s="101" t="s">
        <v>471</v>
      </c>
      <c r="F2" s="101" t="s">
        <v>472</v>
      </c>
      <c r="G2" s="101" t="s">
        <v>473</v>
      </c>
      <c r="H2" s="101" t="s">
        <v>474</v>
      </c>
      <c r="I2" s="101" t="s">
        <v>88</v>
      </c>
      <c r="J2" s="101" t="s">
        <v>89</v>
      </c>
      <c r="K2" s="101" t="s">
        <v>90</v>
      </c>
      <c r="L2" s="101" t="s">
        <v>82</v>
      </c>
      <c r="M2" s="101" t="n"/>
      <c r="N2" s="101" t="n"/>
      <c r="O2" s="101" t="n"/>
    </row>
    <row r="3" ht="14" customHeight="1">
      <c r="A3" s="145" t="s">
        <v>95</v>
      </c>
      <c r="B3" s="145" t="s">
        <v>96</v>
      </c>
      <c r="C3" s="145" t="n">
        <v>1</v>
      </c>
      <c r="D3" s="145" t="n">
        <v>1</v>
      </c>
      <c r="E3" s="145" t="s">
        <v>475</v>
      </c>
      <c r="F3" s="145" t="s">
        <v>476</v>
      </c>
      <c r="G3" s="146" t="s">
        <v>477</v>
      </c>
      <c r="H3" s="147" t="n">
        <v>1</v>
      </c>
      <c r="I3" s="148" t="n">
        <v>5</v>
      </c>
      <c r="J3" s="148" t="n">
        <v>8</v>
      </c>
      <c r="K3" s="148" t="n">
        <v>15</v>
      </c>
      <c r="L3" s="147" t="s">
        <v>478</v>
      </c>
      <c r="M3" s="103" t="n"/>
      <c r="N3" s="103" t="n"/>
      <c r="O3" s="103" t="n"/>
    </row>
    <row r="4" ht="14" customHeight="1">
      <c r="A4" s="145" t="s">
        <v>95</v>
      </c>
      <c r="B4" s="145" t="s">
        <v>96</v>
      </c>
      <c r="C4" s="145" t="n">
        <v>1</v>
      </c>
      <c r="D4" s="145" t="n">
        <v>2</v>
      </c>
      <c r="E4" s="145" t="s">
        <v>479</v>
      </c>
      <c r="F4" s="145" t="s">
        <v>480</v>
      </c>
      <c r="G4" s="149" t="s">
        <v>481</v>
      </c>
      <c r="H4" s="150" t="n">
        <v>0.6</v>
      </c>
      <c r="I4" s="148" t="n">
        <v>4.8</v>
      </c>
      <c r="J4" s="148" t="n">
        <v>9</v>
      </c>
      <c r="K4" s="148" t="n">
        <v>16.8</v>
      </c>
      <c r="L4" s="151" t="s">
        <v>482</v>
      </c>
      <c r="M4" s="105" t="n"/>
      <c r="N4" s="105" t="n"/>
      <c r="O4" s="103" t="n"/>
    </row>
    <row r="5" ht="14" customHeight="1">
      <c r="A5" s="145" t="s">
        <v>95</v>
      </c>
      <c r="B5" s="145" t="s">
        <v>96</v>
      </c>
      <c r="C5" s="145" t="n">
        <v>1</v>
      </c>
      <c r="D5" s="145" t="n">
        <v>3</v>
      </c>
      <c r="E5" s="145" t="s">
        <v>483</v>
      </c>
      <c r="F5" s="145" t="s">
        <v>484</v>
      </c>
      <c r="G5" s="146" t="s">
        <v>477</v>
      </c>
      <c r="H5" s="150" t="n">
        <v>1</v>
      </c>
      <c r="I5" s="148" t="n">
        <v>5</v>
      </c>
      <c r="J5" s="148" t="n">
        <v>10</v>
      </c>
      <c r="K5" s="148" t="n">
        <v>20</v>
      </c>
      <c r="L5" s="151" t="s">
        <v>485</v>
      </c>
      <c r="M5" s="105" t="n"/>
      <c r="N5" s="105" t="n"/>
      <c r="O5" s="103" t="n"/>
    </row>
    <row r="6" ht="14" customHeight="1">
      <c r="A6" s="145" t="s">
        <v>95</v>
      </c>
      <c r="B6" s="145" t="s">
        <v>96</v>
      </c>
      <c r="C6" s="145" t="n">
        <v>1</v>
      </c>
      <c r="D6" s="145" t="n">
        <v>4</v>
      </c>
      <c r="E6" s="145" t="s">
        <v>486</v>
      </c>
      <c r="F6" s="145" t="s">
        <v>487</v>
      </c>
      <c r="G6" s="146" t="s">
        <v>477</v>
      </c>
      <c r="H6" s="150" t="n">
        <v>1</v>
      </c>
      <c r="I6" s="148" t="n">
        <v>8</v>
      </c>
      <c r="J6" s="148" t="n">
        <v>18</v>
      </c>
      <c r="K6" s="148" t="n">
        <v>35</v>
      </c>
      <c r="L6" s="151" t="s">
        <v>488</v>
      </c>
      <c r="M6" s="105" t="n"/>
      <c r="N6" s="105" t="n"/>
      <c r="O6" s="103" t="n"/>
    </row>
    <row r="7" ht="14" customHeight="1">
      <c r="A7" s="145" t="s">
        <v>95</v>
      </c>
      <c r="B7" s="145" t="s">
        <v>96</v>
      </c>
      <c r="C7" s="145" t="n">
        <v>1</v>
      </c>
      <c r="D7" s="145" t="n">
        <v>5</v>
      </c>
      <c r="E7" s="145" t="s">
        <v>489</v>
      </c>
      <c r="F7" s="145" t="s">
        <v>490</v>
      </c>
      <c r="G7" s="146" t="s">
        <v>477</v>
      </c>
      <c r="H7" s="150" t="n">
        <v>1</v>
      </c>
      <c r="I7" s="148" t="n">
        <v>6</v>
      </c>
      <c r="J7" s="148" t="n">
        <v>12</v>
      </c>
      <c r="K7" s="148" t="n">
        <v>22</v>
      </c>
      <c r="L7" s="151" t="s">
        <v>491</v>
      </c>
      <c r="M7" s="109" t="n"/>
      <c r="N7" s="109" t="n"/>
      <c r="O7" s="106" t="n"/>
    </row>
    <row r="8" ht="14" customHeight="1">
      <c r="A8" s="145" t="s">
        <v>95</v>
      </c>
      <c r="B8" s="145" t="s">
        <v>96</v>
      </c>
      <c r="C8" s="145" t="n">
        <v>1</v>
      </c>
      <c r="D8" s="145" t="n">
        <v>6</v>
      </c>
      <c r="E8" s="145" t="s">
        <v>492</v>
      </c>
      <c r="F8" s="145" t="s">
        <v>493</v>
      </c>
      <c r="G8" s="146" t="s">
        <v>477</v>
      </c>
      <c r="H8" s="150" t="n">
        <v>1</v>
      </c>
      <c r="I8" s="148" t="n">
        <v>8</v>
      </c>
      <c r="J8" s="148" t="n">
        <v>16</v>
      </c>
      <c r="K8" s="148" t="n">
        <v>30</v>
      </c>
      <c r="L8" s="151" t="s">
        <v>494</v>
      </c>
      <c r="M8" s="112" t="n"/>
      <c r="N8" s="112" t="n"/>
      <c r="O8" s="113" t="n"/>
    </row>
    <row r="9" ht="14" customHeight="1">
      <c r="A9" s="145" t="s">
        <v>95</v>
      </c>
      <c r="B9" s="145" t="s">
        <v>96</v>
      </c>
      <c r="C9" s="145" t="n">
        <v>1</v>
      </c>
      <c r="D9" s="145" t="n">
        <v>7</v>
      </c>
      <c r="E9" s="145" t="s">
        <v>495</v>
      </c>
      <c r="F9" s="145" t="s">
        <v>496</v>
      </c>
      <c r="G9" s="146" t="s">
        <v>477</v>
      </c>
      <c r="H9" s="150" t="n">
        <v>1</v>
      </c>
      <c r="I9" s="148" t="n">
        <v>10</v>
      </c>
      <c r="J9" s="148" t="n">
        <v>20</v>
      </c>
      <c r="K9" s="148" t="n">
        <v>40</v>
      </c>
      <c r="L9" s="151" t="s">
        <v>497</v>
      </c>
      <c r="M9" s="112" t="n"/>
      <c r="N9" s="112" t="n"/>
      <c r="O9" s="113" t="n"/>
    </row>
    <row r="10" ht="14" customHeight="1">
      <c r="A10" s="145" t="s">
        <v>95</v>
      </c>
      <c r="B10" s="145" t="s">
        <v>96</v>
      </c>
      <c r="C10" s="145" t="n">
        <v>1</v>
      </c>
      <c r="D10" s="145" t="n">
        <v>8</v>
      </c>
      <c r="E10" s="145" t="s">
        <v>498</v>
      </c>
      <c r="F10" s="145" t="s">
        <v>499</v>
      </c>
      <c r="G10" s="146" t="s">
        <v>477</v>
      </c>
      <c r="H10" s="150" t="n">
        <v>1</v>
      </c>
      <c r="I10" s="148" t="n">
        <v>8</v>
      </c>
      <c r="J10" s="148" t="n">
        <v>15</v>
      </c>
      <c r="K10" s="148" t="n">
        <v>28</v>
      </c>
      <c r="L10" s="151" t="s">
        <v>500</v>
      </c>
      <c r="M10" s="109" t="n"/>
      <c r="N10" s="109" t="n"/>
      <c r="O10" s="106" t="n"/>
    </row>
    <row r="11" ht="14" customHeight="1">
      <c r="A11" s="145" t="s">
        <v>95</v>
      </c>
      <c r="B11" s="145" t="s">
        <v>96</v>
      </c>
      <c r="C11" s="145" t="n">
        <v>1</v>
      </c>
      <c r="D11" s="145" t="n">
        <v>9</v>
      </c>
      <c r="E11" s="145" t="s">
        <v>501</v>
      </c>
      <c r="F11" s="145" t="s">
        <v>502</v>
      </c>
      <c r="G11" s="146" t="s">
        <v>477</v>
      </c>
      <c r="H11" s="150" t="n">
        <v>1</v>
      </c>
      <c r="I11" s="148" t="n">
        <v>3</v>
      </c>
      <c r="J11" s="148" t="n">
        <v>6</v>
      </c>
      <c r="K11" s="148" t="n">
        <v>12</v>
      </c>
      <c r="L11" s="151" t="s">
        <v>503</v>
      </c>
      <c r="M11" s="105" t="n"/>
      <c r="N11" s="105" t="n"/>
      <c r="O11" s="103" t="n"/>
    </row>
    <row r="12" ht="14" customHeight="1">
      <c r="A12" s="145" t="s">
        <v>95</v>
      </c>
      <c r="B12" s="145" t="s">
        <v>96</v>
      </c>
      <c r="C12" s="145" t="n">
        <v>1</v>
      </c>
      <c r="D12" s="145" t="n">
        <v>10</v>
      </c>
      <c r="E12" s="145" t="s">
        <v>504</v>
      </c>
      <c r="F12" s="145" t="s">
        <v>505</v>
      </c>
      <c r="G12" s="146" t="s">
        <v>477</v>
      </c>
      <c r="H12" s="150" t="n">
        <v>1</v>
      </c>
      <c r="I12" s="148" t="n">
        <v>6</v>
      </c>
      <c r="J12" s="148" t="n">
        <v>12</v>
      </c>
      <c r="K12" s="148" t="n">
        <v>22</v>
      </c>
      <c r="L12" s="151" t="s">
        <v>506</v>
      </c>
      <c r="M12" s="105" t="n"/>
      <c r="N12" s="105" t="n"/>
      <c r="O12" s="103" t="n"/>
    </row>
    <row r="13" ht="14" customHeight="1">
      <c r="A13" s="152">
        <is>
          <t xml:space="preserve">  ↳ ACT0-AUTH-01 L2 total</t>
        </is>
      </c>
      <c r="B13" s="152" t="n"/>
      <c r="C13" s="152" t="n"/>
      <c r="D13" s="152" t="n"/>
      <c r="E13" s="152" t="n"/>
      <c r="F13" s="152" t="n"/>
      <c r="G13" s="152" t="n"/>
      <c r="H13" s="153" t="n"/>
      <c r="I13" s="154" t="n">
        <v>63.8</v>
      </c>
      <c r="J13" s="154" t="n">
        <v>126</v>
      </c>
      <c r="K13" s="154" t="n">
        <v>240.8</v>
      </c>
      <c r="L13" s="155" t="s">
        <v>507</v>
      </c>
      <c r="M13" s="105" t="n"/>
      <c r="N13" s="105" t="n"/>
      <c r="O13" s="103" t="n"/>
    </row>
    <row r="14" ht="14" customHeight="1">
      <c r="A14" s="156" t="s">
        <v>100</v>
      </c>
      <c r="B14" s="156" t="s">
        <v>101</v>
      </c>
      <c r="C14" s="156" t="n">
        <v>1</v>
      </c>
      <c r="D14" s="156" t="n">
        <v>1</v>
      </c>
      <c r="E14" s="156" t="s">
        <v>508</v>
      </c>
      <c r="F14" s="156" t="s">
        <v>476</v>
      </c>
      <c r="G14" s="146" t="s">
        <v>477</v>
      </c>
      <c r="H14" s="157" t="n">
        <v>1</v>
      </c>
      <c r="I14" s="158" t="n">
        <v>5</v>
      </c>
      <c r="J14" s="158" t="n">
        <v>8</v>
      </c>
      <c r="K14" s="158" t="n">
        <v>15</v>
      </c>
      <c r="L14" s="159" t="s">
        <v>478</v>
      </c>
      <c r="M14" s="105" t="n"/>
      <c r="N14" s="105" t="n"/>
      <c r="O14" s="103" t="n"/>
    </row>
    <row r="15" ht="14" customHeight="1">
      <c r="A15" s="156" t="s">
        <v>100</v>
      </c>
      <c r="B15" s="156" t="s">
        <v>101</v>
      </c>
      <c r="C15" s="156" t="n">
        <v>1</v>
      </c>
      <c r="D15" s="156" t="n">
        <v>2</v>
      </c>
      <c r="E15" s="156" t="s">
        <v>509</v>
      </c>
      <c r="F15" s="156" t="s">
        <v>510</v>
      </c>
      <c r="G15" s="146" t="s">
        <v>477</v>
      </c>
      <c r="H15" s="157" t="n">
        <v>1</v>
      </c>
      <c r="I15" s="158" t="n">
        <v>4</v>
      </c>
      <c r="J15" s="158" t="n">
        <v>8</v>
      </c>
      <c r="K15" s="158" t="n">
        <v>15</v>
      </c>
      <c r="L15" s="159" t="s">
        <v>511</v>
      </c>
      <c r="M15" s="109" t="n"/>
      <c r="N15" s="109" t="n"/>
      <c r="O15" s="106" t="n"/>
    </row>
    <row r="16" ht="14" customHeight="1">
      <c r="A16" s="156" t="s">
        <v>100</v>
      </c>
      <c r="B16" s="156" t="s">
        <v>101</v>
      </c>
      <c r="C16" s="156" t="n">
        <v>1</v>
      </c>
      <c r="D16" s="156" t="n">
        <v>3</v>
      </c>
      <c r="E16" s="156" t="s">
        <v>512</v>
      </c>
      <c r="F16" s="156" t="s">
        <v>493</v>
      </c>
      <c r="G16" s="146" t="s">
        <v>477</v>
      </c>
      <c r="H16" s="157" t="n">
        <v>1</v>
      </c>
      <c r="I16" s="158" t="n">
        <v>8</v>
      </c>
      <c r="J16" s="158" t="n">
        <v>16</v>
      </c>
      <c r="K16" s="158" t="n">
        <v>30</v>
      </c>
      <c r="L16" s="159" t="s">
        <v>494</v>
      </c>
      <c r="M16" s="116" t="n"/>
      <c r="N16" s="116" t="n"/>
      <c r="O16" s="117" t="n"/>
    </row>
    <row r="17" ht="14" customHeight="1">
      <c r="A17" s="156" t="s">
        <v>100</v>
      </c>
      <c r="B17" s="156" t="s">
        <v>101</v>
      </c>
      <c r="C17" s="156" t="n">
        <v>1</v>
      </c>
      <c r="D17" s="156" t="n">
        <v>4</v>
      </c>
      <c r="E17" s="156" t="s">
        <v>513</v>
      </c>
      <c r="F17" s="156" t="s">
        <v>496</v>
      </c>
      <c r="G17" s="146" t="s">
        <v>477</v>
      </c>
      <c r="H17" s="157" t="n">
        <v>1</v>
      </c>
      <c r="I17" s="158" t="n">
        <v>10</v>
      </c>
      <c r="J17" s="158" t="n">
        <v>20</v>
      </c>
      <c r="K17" s="158" t="n">
        <v>40</v>
      </c>
      <c r="L17" s="159" t="s">
        <v>497</v>
      </c>
      <c r="M17" s="116" t="n"/>
      <c r="N17" s="116" t="n"/>
      <c r="O17" s="117" t="n"/>
    </row>
    <row r="18" ht="14" customHeight="1">
      <c r="A18" s="156" t="s">
        <v>100</v>
      </c>
      <c r="B18" s="156" t="s">
        <v>101</v>
      </c>
      <c r="C18" s="156" t="n">
        <v>1</v>
      </c>
      <c r="D18" s="156" t="n">
        <v>5</v>
      </c>
      <c r="E18" s="156" t="s">
        <v>514</v>
      </c>
      <c r="F18" s="156" t="s">
        <v>499</v>
      </c>
      <c r="G18" s="146" t="s">
        <v>477</v>
      </c>
      <c r="H18" s="157" t="n">
        <v>1</v>
      </c>
      <c r="I18" s="158" t="n">
        <v>8</v>
      </c>
      <c r="J18" s="158" t="n">
        <v>15</v>
      </c>
      <c r="K18" s="158" t="n">
        <v>28</v>
      </c>
      <c r="L18" s="159" t="s">
        <v>500</v>
      </c>
      <c r="M18" s="116" t="n"/>
      <c r="N18" s="116" t="n"/>
      <c r="O18" s="117" t="n"/>
    </row>
    <row r="19" ht="14" customHeight="1">
      <c r="A19" s="156" t="s">
        <v>100</v>
      </c>
      <c r="B19" s="156" t="s">
        <v>101</v>
      </c>
      <c r="C19" s="156" t="n">
        <v>1</v>
      </c>
      <c r="D19" s="156" t="n">
        <v>6</v>
      </c>
      <c r="E19" s="156" t="s">
        <v>501</v>
      </c>
      <c r="F19" s="156" t="s">
        <v>502</v>
      </c>
      <c r="G19" s="146" t="s">
        <v>477</v>
      </c>
      <c r="H19" s="157" t="n">
        <v>1</v>
      </c>
      <c r="I19" s="158" t="n">
        <v>3</v>
      </c>
      <c r="J19" s="158" t="n">
        <v>6</v>
      </c>
      <c r="K19" s="158" t="n">
        <v>12</v>
      </c>
      <c r="L19" s="159" t="s">
        <v>503</v>
      </c>
      <c r="M19" s="116" t="n"/>
      <c r="N19" s="116" t="n"/>
      <c r="O19" s="117" t="n"/>
    </row>
    <row r="20" ht="14" customHeight="1">
      <c r="A20" s="152">
        <is>
          <t xml:space="preserve">  ↳ ACT0-NAV-01 L2 total</t>
        </is>
      </c>
      <c r="B20" s="152" t="n"/>
      <c r="C20" s="152" t="n"/>
      <c r="D20" s="152" t="n"/>
      <c r="E20" s="152" t="n"/>
      <c r="F20" s="152" t="n"/>
      <c r="G20" s="152" t="n"/>
      <c r="H20" s="153" t="n"/>
      <c r="I20" s="154" t="n">
        <v>38</v>
      </c>
      <c r="J20" s="154" t="n">
        <v>73</v>
      </c>
      <c r="K20" s="154" t="n">
        <v>140</v>
      </c>
      <c r="L20" s="155" t="s">
        <v>515</v>
      </c>
      <c r="M20" s="116" t="n"/>
      <c r="N20" s="116" t="n"/>
      <c r="O20" s="117" t="n"/>
    </row>
    <row r="21" ht="14" customHeight="1">
      <c r="A21" s="145" t="s">
        <v>104</v>
      </c>
      <c r="B21" s="145" t="s">
        <v>105</v>
      </c>
      <c r="C21" s="145" t="n">
        <v>1</v>
      </c>
      <c r="D21" s="145" t="n">
        <v>1</v>
      </c>
      <c r="E21" s="145" t="s">
        <v>516</v>
      </c>
      <c r="F21" s="145" t="s">
        <v>476</v>
      </c>
      <c r="G21" s="146" t="s">
        <v>477</v>
      </c>
      <c r="H21" s="150" t="n">
        <v>1</v>
      </c>
      <c r="I21" s="148" t="n">
        <v>5</v>
      </c>
      <c r="J21" s="148" t="n">
        <v>8</v>
      </c>
      <c r="K21" s="148" t="n">
        <v>15</v>
      </c>
      <c r="L21" s="151" t="s">
        <v>478</v>
      </c>
      <c r="M21" s="116" t="n"/>
      <c r="N21" s="116" t="n"/>
      <c r="O21" s="117" t="n"/>
    </row>
    <row r="22" ht="14" customHeight="1">
      <c r="A22" s="145" t="s">
        <v>104</v>
      </c>
      <c r="B22" s="145" t="s">
        <v>105</v>
      </c>
      <c r="C22" s="145" t="n">
        <v>1</v>
      </c>
      <c r="D22" s="145" t="n">
        <v>2</v>
      </c>
      <c r="E22" s="145" t="s">
        <v>517</v>
      </c>
      <c r="F22" s="145" t="s">
        <v>480</v>
      </c>
      <c r="G22" s="146" t="s">
        <v>477</v>
      </c>
      <c r="H22" s="150" t="n">
        <v>1</v>
      </c>
      <c r="I22" s="148" t="n">
        <v>8</v>
      </c>
      <c r="J22" s="148" t="n">
        <v>15</v>
      </c>
      <c r="K22" s="148" t="n">
        <v>28</v>
      </c>
      <c r="L22" s="151" t="s">
        <v>518</v>
      </c>
      <c r="M22" s="116" t="n"/>
      <c r="N22" s="116" t="n"/>
      <c r="O22" s="117" t="n"/>
    </row>
    <row r="23" ht="14" customHeight="1">
      <c r="A23" s="145" t="s">
        <v>104</v>
      </c>
      <c r="B23" s="145" t="s">
        <v>105</v>
      </c>
      <c r="C23" s="145" t="n">
        <v>1</v>
      </c>
      <c r="D23" s="145" t="n">
        <v>3</v>
      </c>
      <c r="E23" s="145" t="s">
        <v>519</v>
      </c>
      <c r="F23" s="145" t="s">
        <v>487</v>
      </c>
      <c r="G23" s="146" t="s">
        <v>477</v>
      </c>
      <c r="H23" s="150" t="n">
        <v>1</v>
      </c>
      <c r="I23" s="148" t="n">
        <v>8</v>
      </c>
      <c r="J23" s="148" t="n">
        <v>18</v>
      </c>
      <c r="K23" s="148" t="n">
        <v>35</v>
      </c>
      <c r="L23" s="151" t="s">
        <v>488</v>
      </c>
      <c r="M23" s="109" t="n"/>
      <c r="N23" s="109" t="n"/>
      <c r="O23" s="106" t="n"/>
    </row>
    <row r="24" ht="14" customHeight="1">
      <c r="A24" s="145" t="s">
        <v>104</v>
      </c>
      <c r="B24" s="145" t="s">
        <v>105</v>
      </c>
      <c r="C24" s="145" t="n">
        <v>1</v>
      </c>
      <c r="D24" s="145" t="n">
        <v>4</v>
      </c>
      <c r="E24" s="145" t="s">
        <v>520</v>
      </c>
      <c r="F24" s="145" t="s">
        <v>490</v>
      </c>
      <c r="G24" s="146" t="s">
        <v>477</v>
      </c>
      <c r="H24" s="150" t="n">
        <v>1</v>
      </c>
      <c r="I24" s="148" t="n">
        <v>6</v>
      </c>
      <c r="J24" s="148" t="n">
        <v>12</v>
      </c>
      <c r="K24" s="148" t="n">
        <v>22</v>
      </c>
      <c r="L24" s="151" t="s">
        <v>491</v>
      </c>
      <c r="M24" s="116" t="n"/>
      <c r="N24" s="116" t="n"/>
      <c r="O24" s="117" t="n"/>
    </row>
    <row r="25" ht="14" customHeight="1">
      <c r="A25" s="145" t="s">
        <v>104</v>
      </c>
      <c r="B25" s="145" t="s">
        <v>105</v>
      </c>
      <c r="C25" s="145" t="n">
        <v>1</v>
      </c>
      <c r="D25" s="145" t="n">
        <v>5</v>
      </c>
      <c r="E25" s="145" t="s">
        <v>521</v>
      </c>
      <c r="F25" s="145" t="s">
        <v>493</v>
      </c>
      <c r="G25" s="146" t="s">
        <v>477</v>
      </c>
      <c r="H25" s="150" t="n">
        <v>1</v>
      </c>
      <c r="I25" s="148" t="n">
        <v>8</v>
      </c>
      <c r="J25" s="148" t="n">
        <v>16</v>
      </c>
      <c r="K25" s="148" t="n">
        <v>30</v>
      </c>
      <c r="L25" s="151" t="s">
        <v>494</v>
      </c>
      <c r="M25" s="116" t="n"/>
      <c r="N25" s="116" t="n"/>
      <c r="O25" s="117" t="n"/>
    </row>
    <row r="26" ht="14" customHeight="1">
      <c r="A26" s="145" t="s">
        <v>104</v>
      </c>
      <c r="B26" s="145" t="s">
        <v>105</v>
      </c>
      <c r="C26" s="145" t="n">
        <v>1</v>
      </c>
      <c r="D26" s="145" t="n">
        <v>6</v>
      </c>
      <c r="E26" s="145" t="s">
        <v>522</v>
      </c>
      <c r="F26" s="145" t="s">
        <v>496</v>
      </c>
      <c r="G26" s="146" t="s">
        <v>477</v>
      </c>
      <c r="H26" s="150" t="n">
        <v>1</v>
      </c>
      <c r="I26" s="148" t="n">
        <v>10</v>
      </c>
      <c r="J26" s="148" t="n">
        <v>20</v>
      </c>
      <c r="K26" s="148" t="n">
        <v>40</v>
      </c>
      <c r="L26" s="151" t="s">
        <v>497</v>
      </c>
      <c r="M26" s="116" t="n"/>
      <c r="N26" s="116" t="n"/>
      <c r="O26" s="117" t="n"/>
    </row>
    <row r="27" ht="14" customHeight="1">
      <c r="A27" s="145" t="s">
        <v>104</v>
      </c>
      <c r="B27" s="145" t="s">
        <v>105</v>
      </c>
      <c r="C27" s="145" t="n">
        <v>1</v>
      </c>
      <c r="D27" s="145" t="n">
        <v>7</v>
      </c>
      <c r="E27" s="145" t="s">
        <v>523</v>
      </c>
      <c r="F27" s="145" t="s">
        <v>499</v>
      </c>
      <c r="G27" s="146" t="s">
        <v>477</v>
      </c>
      <c r="H27" s="150" t="n">
        <v>1</v>
      </c>
      <c r="I27" s="148" t="n">
        <v>8</v>
      </c>
      <c r="J27" s="148" t="n">
        <v>15</v>
      </c>
      <c r="K27" s="148" t="n">
        <v>28</v>
      </c>
      <c r="L27" s="151" t="s">
        <v>500</v>
      </c>
      <c r="M27" s="116" t="n"/>
      <c r="N27" s="116" t="n"/>
      <c r="O27" s="117" t="n"/>
    </row>
    <row r="28" ht="14" customHeight="1">
      <c r="A28" s="145" t="s">
        <v>104</v>
      </c>
      <c r="B28" s="145" t="s">
        <v>105</v>
      </c>
      <c r="C28" s="145" t="n">
        <v>1</v>
      </c>
      <c r="D28" s="145" t="n">
        <v>8</v>
      </c>
      <c r="E28" s="145" t="s">
        <v>501</v>
      </c>
      <c r="F28" s="145" t="s">
        <v>502</v>
      </c>
      <c r="G28" s="146" t="s">
        <v>477</v>
      </c>
      <c r="H28" s="150" t="n">
        <v>1</v>
      </c>
      <c r="I28" s="148" t="n">
        <v>3</v>
      </c>
      <c r="J28" s="148" t="n">
        <v>6</v>
      </c>
      <c r="K28" s="148" t="n">
        <v>12</v>
      </c>
      <c r="L28" s="151" t="s">
        <v>503</v>
      </c>
      <c r="M28" s="116" t="n"/>
      <c r="N28" s="116" t="n"/>
      <c r="O28" s="117" t="n"/>
    </row>
    <row r="29" ht="14" customHeight="1">
      <c r="A29" s="145" t="s">
        <v>104</v>
      </c>
      <c r="B29" s="145" t="s">
        <v>105</v>
      </c>
      <c r="C29" s="145" t="n">
        <v>1</v>
      </c>
      <c r="D29" s="145" t="n">
        <v>9</v>
      </c>
      <c r="E29" s="145" t="s">
        <v>524</v>
      </c>
      <c r="F29" s="145" t="s">
        <v>505</v>
      </c>
      <c r="G29" s="146" t="s">
        <v>477</v>
      </c>
      <c r="H29" s="150" t="n">
        <v>1</v>
      </c>
      <c r="I29" s="148" t="n">
        <v>6</v>
      </c>
      <c r="J29" s="148" t="n">
        <v>12</v>
      </c>
      <c r="K29" s="148" t="n">
        <v>22</v>
      </c>
      <c r="L29" s="151" t="s">
        <v>506</v>
      </c>
      <c r="M29" s="116" t="n"/>
      <c r="N29" s="116" t="n"/>
      <c r="O29" s="117" t="n"/>
    </row>
    <row r="30" ht="14" customHeight="1">
      <c r="A30" s="152">
        <is>
          <t xml:space="preserve">  ↳ ACT0-ONBOARD-01 L2 total</t>
        </is>
      </c>
      <c r="B30" s="152" t="n"/>
      <c r="C30" s="152" t="n"/>
      <c r="D30" s="152" t="n"/>
      <c r="E30" s="152" t="n"/>
      <c r="F30" s="152" t="n"/>
      <c r="G30" s="152" t="n"/>
      <c r="H30" s="153" t="n"/>
      <c r="I30" s="154" t="n">
        <v>62</v>
      </c>
      <c r="J30" s="154" t="n">
        <v>122</v>
      </c>
      <c r="K30" s="154" t="n">
        <v>232</v>
      </c>
      <c r="L30" s="155" t="s">
        <v>525</v>
      </c>
      <c r="M30" s="116" t="n"/>
      <c r="N30" s="116" t="n"/>
      <c r="O30" s="117" t="n"/>
    </row>
    <row r="31" ht="14" customHeight="1">
      <c r="A31" s="160" t="s">
        <v>108</v>
      </c>
      <c r="B31" s="160" t="s">
        <v>109</v>
      </c>
      <c r="C31" s="160" t="n">
        <v>1</v>
      </c>
      <c r="D31" s="160" t="n">
        <v>1</v>
      </c>
      <c r="E31" s="160" t="s">
        <v>526</v>
      </c>
      <c r="F31" s="160" t="s">
        <v>476</v>
      </c>
      <c r="G31" s="146" t="s">
        <v>477</v>
      </c>
      <c r="H31" s="161" t="n">
        <v>1</v>
      </c>
      <c r="I31" s="162" t="n">
        <v>5</v>
      </c>
      <c r="J31" s="162" t="n">
        <v>8</v>
      </c>
      <c r="K31" s="162" t="n">
        <v>15</v>
      </c>
      <c r="L31" s="163" t="s">
        <v>478</v>
      </c>
      <c r="M31" s="109" t="n"/>
      <c r="N31" s="109" t="n"/>
      <c r="O31" s="106" t="n"/>
    </row>
    <row r="32" ht="14" customHeight="1">
      <c r="A32" s="160" t="s">
        <v>108</v>
      </c>
      <c r="B32" s="160" t="s">
        <v>109</v>
      </c>
      <c r="C32" s="160" t="n">
        <v>1</v>
      </c>
      <c r="D32" s="160" t="n">
        <v>2</v>
      </c>
      <c r="E32" s="160" t="s">
        <v>527</v>
      </c>
      <c r="F32" s="160" t="s">
        <v>480</v>
      </c>
      <c r="G32" s="164" t="s">
        <v>528</v>
      </c>
      <c r="H32" s="161" t="n">
        <v>0.3</v>
      </c>
      <c r="I32" s="162" t="n">
        <v>2.4</v>
      </c>
      <c r="J32" s="162" t="n">
        <v>4.5</v>
      </c>
      <c r="K32" s="162" t="n">
        <v>8.4</v>
      </c>
      <c r="L32" s="163" t="s">
        <v>529</v>
      </c>
      <c r="M32" s="116" t="n"/>
      <c r="N32" s="116" t="n"/>
      <c r="O32" s="117" t="n"/>
    </row>
    <row r="33" ht="14" customHeight="1">
      <c r="A33" s="160" t="s">
        <v>108</v>
      </c>
      <c r="B33" s="160" t="s">
        <v>109</v>
      </c>
      <c r="C33" s="160" t="n">
        <v>1</v>
      </c>
      <c r="D33" s="160" t="n">
        <v>3</v>
      </c>
      <c r="E33" s="160" t="s">
        <v>530</v>
      </c>
      <c r="F33" s="160" t="s">
        <v>484</v>
      </c>
      <c r="G33" s="149" t="s">
        <v>481</v>
      </c>
      <c r="H33" s="161" t="n">
        <v>0.6</v>
      </c>
      <c r="I33" s="162" t="n">
        <v>3</v>
      </c>
      <c r="J33" s="162" t="n">
        <v>6</v>
      </c>
      <c r="K33" s="162" t="n">
        <v>12</v>
      </c>
      <c r="L33" s="163" t="s">
        <v>531</v>
      </c>
      <c r="M33" s="116" t="n"/>
      <c r="N33" s="116" t="n"/>
      <c r="O33" s="117" t="n"/>
    </row>
    <row r="34" ht="14" customHeight="1">
      <c r="A34" s="160" t="s">
        <v>108</v>
      </c>
      <c r="B34" s="160" t="s">
        <v>109</v>
      </c>
      <c r="C34" s="160" t="n">
        <v>1</v>
      </c>
      <c r="D34" s="160" t="n">
        <v>4</v>
      </c>
      <c r="E34" s="160" t="s">
        <v>532</v>
      </c>
      <c r="F34" s="160" t="s">
        <v>487</v>
      </c>
      <c r="G34" s="149" t="s">
        <v>481</v>
      </c>
      <c r="H34" s="165" t="n">
        <v>0.6</v>
      </c>
      <c r="I34" s="162" t="n">
        <v>4.8</v>
      </c>
      <c r="J34" s="162" t="n">
        <v>10.8</v>
      </c>
      <c r="K34" s="162" t="n">
        <v>21</v>
      </c>
      <c r="L34" s="163" t="s">
        <v>533</v>
      </c>
      <c r="M34" s="116" t="n"/>
      <c r="N34" s="116" t="n"/>
      <c r="O34" s="117" t="n"/>
    </row>
    <row r="35" ht="14" customHeight="1">
      <c r="A35" s="160" t="s">
        <v>108</v>
      </c>
      <c r="B35" s="160" t="s">
        <v>109</v>
      </c>
      <c r="C35" s="160" t="n">
        <v>1</v>
      </c>
      <c r="D35" s="160" t="n">
        <v>5</v>
      </c>
      <c r="E35" s="160" t="s">
        <v>534</v>
      </c>
      <c r="F35" s="160" t="s">
        <v>490</v>
      </c>
      <c r="G35" s="146" t="s">
        <v>477</v>
      </c>
      <c r="H35" s="165" t="n">
        <v>1</v>
      </c>
      <c r="I35" s="162" t="n">
        <v>6</v>
      </c>
      <c r="J35" s="162" t="n">
        <v>12</v>
      </c>
      <c r="K35" s="162" t="n">
        <v>22</v>
      </c>
      <c r="L35" s="165" t="s">
        <v>491</v>
      </c>
      <c r="M35" s="117" t="n"/>
      <c r="N35" s="117" t="n"/>
      <c r="O35" s="117" t="n"/>
    </row>
    <row r="36" ht="14" customHeight="1">
      <c r="A36" s="160" t="s">
        <v>108</v>
      </c>
      <c r="B36" s="160" t="s">
        <v>109</v>
      </c>
      <c r="C36" s="160" t="n">
        <v>1</v>
      </c>
      <c r="D36" s="160" t="n">
        <v>6</v>
      </c>
      <c r="E36" s="160" t="s">
        <v>535</v>
      </c>
      <c r="F36" s="160" t="s">
        <v>493</v>
      </c>
      <c r="G36" s="146" t="s">
        <v>477</v>
      </c>
      <c r="H36" s="165" t="n">
        <v>1</v>
      </c>
      <c r="I36" s="162" t="n">
        <v>8</v>
      </c>
      <c r="J36" s="162" t="n">
        <v>16</v>
      </c>
      <c r="K36" s="162" t="n">
        <v>30</v>
      </c>
      <c r="L36" s="165" t="s">
        <v>494</v>
      </c>
      <c r="M36" s="117" t="n"/>
      <c r="N36" s="117" t="n"/>
      <c r="O36" s="117" t="n"/>
    </row>
    <row r="37" ht="14" customHeight="1">
      <c r="A37" s="160" t="s">
        <v>108</v>
      </c>
      <c r="B37" s="160" t="s">
        <v>109</v>
      </c>
      <c r="C37" s="160" t="n">
        <v>1</v>
      </c>
      <c r="D37" s="160" t="n">
        <v>7</v>
      </c>
      <c r="E37" s="160" t="s">
        <v>536</v>
      </c>
      <c r="F37" s="160" t="s">
        <v>510</v>
      </c>
      <c r="G37" s="146" t="s">
        <v>477</v>
      </c>
      <c r="H37" s="165" t="n">
        <v>1</v>
      </c>
      <c r="I37" s="162" t="n">
        <v>4</v>
      </c>
      <c r="J37" s="162" t="n">
        <v>8</v>
      </c>
      <c r="K37" s="162" t="n">
        <v>15</v>
      </c>
      <c r="L37" s="165" t="s">
        <v>511</v>
      </c>
      <c r="M37" s="117" t="n"/>
      <c r="N37" s="117" t="n"/>
      <c r="O37" s="117" t="n"/>
    </row>
    <row r="38" ht="14" customHeight="1">
      <c r="A38" s="160" t="s">
        <v>108</v>
      </c>
      <c r="B38" s="160" t="s">
        <v>109</v>
      </c>
      <c r="C38" s="160" t="n">
        <v>1</v>
      </c>
      <c r="D38" s="160" t="n">
        <v>8</v>
      </c>
      <c r="E38" s="160" t="s">
        <v>537</v>
      </c>
      <c r="F38" s="160" t="s">
        <v>496</v>
      </c>
      <c r="G38" s="146" t="s">
        <v>477</v>
      </c>
      <c r="H38" s="165" t="n">
        <v>1</v>
      </c>
      <c r="I38" s="162" t="n">
        <v>10</v>
      </c>
      <c r="J38" s="162" t="n">
        <v>20</v>
      </c>
      <c r="K38" s="162" t="n">
        <v>40</v>
      </c>
      <c r="L38" s="165" t="s">
        <v>497</v>
      </c>
      <c r="M38" s="117" t="n"/>
      <c r="N38" s="117" t="n"/>
      <c r="O38" s="117" t="n"/>
    </row>
    <row r="39" ht="14" customHeight="1">
      <c r="A39" s="160" t="s">
        <v>108</v>
      </c>
      <c r="B39" s="160" t="s">
        <v>109</v>
      </c>
      <c r="C39" s="160" t="n">
        <v>1</v>
      </c>
      <c r="D39" s="160" t="n">
        <v>9</v>
      </c>
      <c r="E39" s="160" t="s">
        <v>538</v>
      </c>
      <c r="F39" s="160" t="s">
        <v>499</v>
      </c>
      <c r="G39" s="146" t="s">
        <v>477</v>
      </c>
      <c r="H39" s="165" t="n">
        <v>1</v>
      </c>
      <c r="I39" s="162" t="n">
        <v>8</v>
      </c>
      <c r="J39" s="162" t="n">
        <v>15</v>
      </c>
      <c r="K39" s="162" t="n">
        <v>28</v>
      </c>
      <c r="L39" s="165" t="s">
        <v>500</v>
      </c>
      <c r="M39" s="118" t="n"/>
      <c r="N39" s="118" t="n"/>
      <c r="O39" s="118" t="n"/>
    </row>
    <row r="40" ht="14" customHeight="1">
      <c r="A40" s="160" t="s">
        <v>108</v>
      </c>
      <c r="B40" s="160" t="s">
        <v>109</v>
      </c>
      <c r="C40" s="160" t="n">
        <v>1</v>
      </c>
      <c r="D40" s="160" t="n">
        <v>10</v>
      </c>
      <c r="E40" s="160" t="s">
        <v>501</v>
      </c>
      <c r="F40" s="160" t="s">
        <v>502</v>
      </c>
      <c r="G40" s="146" t="s">
        <v>477</v>
      </c>
      <c r="H40" s="165" t="n">
        <v>1</v>
      </c>
      <c r="I40" s="162" t="n">
        <v>3</v>
      </c>
      <c r="J40" s="162" t="n">
        <v>6</v>
      </c>
      <c r="K40" s="162" t="n">
        <v>12</v>
      </c>
      <c r="L40" s="165" t="s">
        <v>503</v>
      </c>
      <c r="M40" s="103" t="n"/>
      <c r="N40" s="103" t="n"/>
      <c r="O40" s="103" t="n"/>
    </row>
    <row r="41" ht="14" customHeight="1">
      <c r="A41" s="160" t="s">
        <v>108</v>
      </c>
      <c r="B41" s="160" t="s">
        <v>109</v>
      </c>
      <c r="C41" s="160" t="n">
        <v>1</v>
      </c>
      <c r="D41" s="160" t="n">
        <v>11</v>
      </c>
      <c r="E41" s="160" t="s">
        <v>539</v>
      </c>
      <c r="F41" s="160" t="s">
        <v>505</v>
      </c>
      <c r="G41" s="146" t="s">
        <v>477</v>
      </c>
      <c r="H41" s="165" t="n">
        <v>1</v>
      </c>
      <c r="I41" s="162" t="n">
        <v>6</v>
      </c>
      <c r="J41" s="162" t="n">
        <v>12</v>
      </c>
      <c r="K41" s="162" t="n">
        <v>22</v>
      </c>
      <c r="L41" s="165" t="s">
        <v>506</v>
      </c>
      <c r="M41" s="103" t="n"/>
      <c r="N41" s="103" t="n"/>
      <c r="O41" s="103" t="n"/>
    </row>
    <row r="42" ht="14" customHeight="1">
      <c r="A42" s="152">
        <is>
          <t xml:space="preserve">  ↳ PB-LIST-01 L2 total</t>
        </is>
      </c>
      <c r="B42" s="152" t="n"/>
      <c r="C42" s="152" t="n"/>
      <c r="D42" s="152" t="n"/>
      <c r="E42" s="152" t="n"/>
      <c r="F42" s="152" t="n"/>
      <c r="G42" s="152" t="n"/>
      <c r="H42" s="166" t="n"/>
      <c r="I42" s="154" t="n">
        <v>60.2</v>
      </c>
      <c r="J42" s="154" t="n">
        <v>118.3</v>
      </c>
      <c r="K42" s="154" t="n">
        <v>225.4</v>
      </c>
      <c r="L42" s="166" t="s">
        <v>540</v>
      </c>
      <c r="M42" s="103" t="n"/>
      <c r="N42" s="103" t="n"/>
      <c r="O42" s="103" t="n"/>
    </row>
    <row r="43" ht="14" customHeight="1">
      <c r="A43" s="160" t="s">
        <v>113</v>
      </c>
      <c r="B43" s="160" t="s">
        <v>114</v>
      </c>
      <c r="C43" s="160" t="n">
        <v>1</v>
      </c>
      <c r="D43" s="160" t="n">
        <v>1</v>
      </c>
      <c r="E43" s="160" t="s">
        <v>541</v>
      </c>
      <c r="F43" s="160" t="s">
        <v>476</v>
      </c>
      <c r="G43" s="164" t="s">
        <v>528</v>
      </c>
      <c r="H43" s="165" t="n">
        <v>0.3</v>
      </c>
      <c r="I43" s="162" t="n">
        <v>1.5</v>
      </c>
      <c r="J43" s="162" t="n">
        <v>2.4</v>
      </c>
      <c r="K43" s="162" t="n">
        <v>4.5</v>
      </c>
      <c r="L43" s="165" t="s">
        <v>542</v>
      </c>
      <c r="M43" s="103" t="n"/>
      <c r="N43" s="103" t="n"/>
      <c r="O43" s="103" t="n"/>
    </row>
    <row r="44" ht="14" customHeight="1">
      <c r="A44" s="160" t="s">
        <v>113</v>
      </c>
      <c r="B44" s="160" t="s">
        <v>114</v>
      </c>
      <c r="C44" s="160" t="n">
        <v>1</v>
      </c>
      <c r="D44" s="160" t="n">
        <v>2</v>
      </c>
      <c r="E44" s="160" t="s">
        <v>543</v>
      </c>
      <c r="F44" s="160" t="s">
        <v>480</v>
      </c>
      <c r="G44" s="164" t="s">
        <v>528</v>
      </c>
      <c r="H44" s="165" t="n">
        <v>0.3</v>
      </c>
      <c r="I44" s="162" t="n">
        <v>2.4</v>
      </c>
      <c r="J44" s="162" t="n">
        <v>4.5</v>
      </c>
      <c r="K44" s="162" t="n">
        <v>8.4</v>
      </c>
      <c r="L44" s="165" t="s">
        <v>529</v>
      </c>
      <c r="M44" s="118" t="n"/>
      <c r="N44" s="118" t="n"/>
      <c r="O44" s="118" t="n"/>
    </row>
    <row r="45" ht="14" customHeight="1">
      <c r="A45" s="160" t="s">
        <v>113</v>
      </c>
      <c r="B45" s="160" t="s">
        <v>114</v>
      </c>
      <c r="C45" s="160" t="n">
        <v>1</v>
      </c>
      <c r="D45" s="160" t="n">
        <v>3</v>
      </c>
      <c r="E45" s="160" t="s">
        <v>544</v>
      </c>
      <c r="F45" s="160" t="s">
        <v>484</v>
      </c>
      <c r="G45" s="164" t="s">
        <v>528</v>
      </c>
      <c r="H45" s="165" t="n">
        <v>0.3</v>
      </c>
      <c r="I45" s="162" t="n">
        <v>1.5</v>
      </c>
      <c r="J45" s="162" t="n">
        <v>3</v>
      </c>
      <c r="K45" s="162" t="n">
        <v>6</v>
      </c>
      <c r="L45" s="165" t="s">
        <v>545</v>
      </c>
      <c r="M45" s="103" t="n"/>
      <c r="N45" s="103" t="n"/>
      <c r="O45" s="103" t="n"/>
    </row>
    <row r="46" ht="14" customHeight="1">
      <c r="A46" s="160" t="s">
        <v>113</v>
      </c>
      <c r="B46" s="160" t="s">
        <v>114</v>
      </c>
      <c r="C46" s="160" t="n">
        <v>1</v>
      </c>
      <c r="D46" s="160" t="n">
        <v>4</v>
      </c>
      <c r="E46" s="160" t="s">
        <v>546</v>
      </c>
      <c r="F46" s="160" t="s">
        <v>487</v>
      </c>
      <c r="G46" s="164" t="s">
        <v>528</v>
      </c>
      <c r="H46" s="165" t="n">
        <v>0.3</v>
      </c>
      <c r="I46" s="162" t="n">
        <v>2.4</v>
      </c>
      <c r="J46" s="162" t="n">
        <v>5.4</v>
      </c>
      <c r="K46" s="162" t="n">
        <v>10.5</v>
      </c>
      <c r="L46" s="165" t="s">
        <v>547</v>
      </c>
      <c r="M46" s="103" t="n"/>
      <c r="N46" s="103" t="n"/>
      <c r="O46" s="103" t="n"/>
    </row>
    <row r="47" ht="14" customHeight="1">
      <c r="A47" s="160" t="s">
        <v>113</v>
      </c>
      <c r="B47" s="160" t="s">
        <v>114</v>
      </c>
      <c r="C47" s="160" t="n">
        <v>1</v>
      </c>
      <c r="D47" s="160" t="n">
        <v>5</v>
      </c>
      <c r="E47" s="160" t="s">
        <v>548</v>
      </c>
      <c r="F47" s="160" t="s">
        <v>490</v>
      </c>
      <c r="G47" s="164" t="s">
        <v>528</v>
      </c>
      <c r="H47" s="165" t="n">
        <v>0.3</v>
      </c>
      <c r="I47" s="162" t="n">
        <v>1.8</v>
      </c>
      <c r="J47" s="162" t="n">
        <v>3.6</v>
      </c>
      <c r="K47" s="162" t="n">
        <v>6.6</v>
      </c>
      <c r="L47" s="165" t="s">
        <v>549</v>
      </c>
      <c r="M47" s="103" t="n"/>
      <c r="N47" s="103" t="n"/>
      <c r="O47" s="103" t="n"/>
    </row>
    <row r="48" ht="14" customHeight="1">
      <c r="A48" s="160" t="s">
        <v>113</v>
      </c>
      <c r="B48" s="160" t="s">
        <v>114</v>
      </c>
      <c r="C48" s="160" t="n">
        <v>1</v>
      </c>
      <c r="D48" s="160" t="n">
        <v>6</v>
      </c>
      <c r="E48" s="160" t="s">
        <v>550</v>
      </c>
      <c r="F48" s="160" t="s">
        <v>493</v>
      </c>
      <c r="G48" s="164" t="s">
        <v>528</v>
      </c>
      <c r="H48" s="165" t="n">
        <v>0.3</v>
      </c>
      <c r="I48" s="162" t="n">
        <v>2.4</v>
      </c>
      <c r="J48" s="162" t="n">
        <v>4.8</v>
      </c>
      <c r="K48" s="162" t="n">
        <v>9</v>
      </c>
      <c r="L48" s="165" t="s">
        <v>551</v>
      </c>
      <c r="M48" s="103" t="n"/>
      <c r="N48" s="103" t="n"/>
      <c r="O48" s="103" t="n"/>
    </row>
    <row r="49" ht="14" customHeight="1">
      <c r="A49" s="160" t="s">
        <v>113</v>
      </c>
      <c r="B49" s="160" t="s">
        <v>114</v>
      </c>
      <c r="C49" s="160" t="n">
        <v>1</v>
      </c>
      <c r="D49" s="160" t="n">
        <v>7</v>
      </c>
      <c r="E49" s="160" t="s">
        <v>552</v>
      </c>
      <c r="F49" s="160" t="s">
        <v>496</v>
      </c>
      <c r="G49" s="164" t="s">
        <v>528</v>
      </c>
      <c r="H49" s="165" t="n">
        <v>0.3</v>
      </c>
      <c r="I49" s="162" t="n">
        <v>3</v>
      </c>
      <c r="J49" s="162" t="n">
        <v>6</v>
      </c>
      <c r="K49" s="162" t="n">
        <v>12</v>
      </c>
      <c r="L49" s="165" t="s">
        <v>553</v>
      </c>
      <c r="M49" s="118" t="n"/>
      <c r="N49" s="118" t="n"/>
      <c r="O49" s="118" t="n"/>
    </row>
    <row r="50" ht="14" customHeight="1">
      <c r="A50" s="160" t="s">
        <v>113</v>
      </c>
      <c r="B50" s="160" t="s">
        <v>114</v>
      </c>
      <c r="C50" s="160" t="n">
        <v>1</v>
      </c>
      <c r="D50" s="160" t="n">
        <v>8</v>
      </c>
      <c r="E50" s="160" t="s">
        <v>554</v>
      </c>
      <c r="F50" s="160" t="s">
        <v>499</v>
      </c>
      <c r="G50" s="164" t="s">
        <v>528</v>
      </c>
      <c r="H50" s="165" t="n">
        <v>0.3</v>
      </c>
      <c r="I50" s="162" t="n">
        <v>2.4</v>
      </c>
      <c r="J50" s="162" t="n">
        <v>4.5</v>
      </c>
      <c r="K50" s="162" t="n">
        <v>8.4</v>
      </c>
      <c r="L50" s="165" t="s">
        <v>555</v>
      </c>
      <c r="M50" s="117" t="n"/>
      <c r="N50" s="117" t="n"/>
      <c r="O50" s="117" t="n"/>
    </row>
    <row r="51" ht="14" customHeight="1">
      <c r="A51" s="160" t="s">
        <v>113</v>
      </c>
      <c r="B51" s="160" t="s">
        <v>114</v>
      </c>
      <c r="C51" s="160" t="n">
        <v>1</v>
      </c>
      <c r="D51" s="160" t="n">
        <v>9</v>
      </c>
      <c r="E51" s="160" t="s">
        <v>556</v>
      </c>
      <c r="F51" s="160" t="s">
        <v>502</v>
      </c>
      <c r="G51" s="164" t="s">
        <v>528</v>
      </c>
      <c r="H51" s="165" t="n">
        <v>0.3</v>
      </c>
      <c r="I51" s="162" t="n">
        <v>0.9</v>
      </c>
      <c r="J51" s="162" t="n">
        <v>1.8</v>
      </c>
      <c r="K51" s="162" t="n">
        <v>3.6</v>
      </c>
      <c r="L51" s="165" t="s">
        <v>557</v>
      </c>
      <c r="M51" s="117" t="n"/>
      <c r="N51" s="117" t="n"/>
      <c r="O51" s="117" t="n"/>
    </row>
    <row r="52" ht="14" customHeight="1">
      <c r="A52" s="160" t="s">
        <v>113</v>
      </c>
      <c r="B52" s="160" t="s">
        <v>114</v>
      </c>
      <c r="C52" s="160" t="n">
        <v>1</v>
      </c>
      <c r="D52" s="160" t="n">
        <v>10</v>
      </c>
      <c r="E52" s="160" t="s">
        <v>558</v>
      </c>
      <c r="F52" s="160" t="s">
        <v>505</v>
      </c>
      <c r="G52" s="164" t="s">
        <v>528</v>
      </c>
      <c r="H52" s="165" t="n">
        <v>0.3</v>
      </c>
      <c r="I52" s="162" t="n">
        <v>1.8</v>
      </c>
      <c r="J52" s="162" t="n">
        <v>3.6</v>
      </c>
      <c r="K52" s="162" t="n">
        <v>6.6</v>
      </c>
      <c r="L52" s="165" t="s">
        <v>559</v>
      </c>
      <c r="M52" s="117" t="n"/>
      <c r="N52" s="117" t="n"/>
      <c r="O52" s="117" t="n"/>
    </row>
    <row r="53" ht="14" customHeight="1">
      <c r="A53" s="152">
        <is>
          <t xml:space="preserve">  ↳ PB-CREATE-01 L2 total</t>
        </is>
      </c>
      <c r="B53" s="152" t="n"/>
      <c r="C53" s="152" t="n"/>
      <c r="D53" s="152" t="n"/>
      <c r="E53" s="152" t="n"/>
      <c r="F53" s="152" t="n"/>
      <c r="G53" s="152" t="n"/>
      <c r="H53" s="166" t="n"/>
      <c r="I53" s="154" t="n">
        <v>20.1</v>
      </c>
      <c r="J53" s="154" t="n">
        <v>39.6</v>
      </c>
      <c r="K53" s="154" t="n">
        <v>75.59999999999999</v>
      </c>
      <c r="L53" s="166" t="s">
        <v>560</v>
      </c>
      <c r="M53" s="117" t="n"/>
      <c r="N53" s="117" t="n"/>
      <c r="O53" s="117" t="n"/>
    </row>
    <row r="54" ht="14" customHeight="1">
      <c r="A54" s="160" t="s">
        <v>117</v>
      </c>
      <c r="B54" s="160" t="s">
        <v>118</v>
      </c>
      <c r="C54" s="160" t="n">
        <v>2</v>
      </c>
      <c r="D54" s="160" t="n">
        <v>1</v>
      </c>
      <c r="E54" s="160" t="s">
        <v>561</v>
      </c>
      <c r="F54" s="160" t="s">
        <v>476</v>
      </c>
      <c r="G54" s="146" t="s">
        <v>477</v>
      </c>
      <c r="H54" s="165" t="n">
        <v>1</v>
      </c>
      <c r="I54" s="162" t="n">
        <v>5</v>
      </c>
      <c r="J54" s="162" t="n">
        <v>8</v>
      </c>
      <c r="K54" s="162" t="n">
        <v>15</v>
      </c>
      <c r="L54" s="165" t="s">
        <v>478</v>
      </c>
      <c r="M54" s="117" t="n"/>
      <c r="N54" s="117" t="n"/>
      <c r="O54" s="117" t="n"/>
    </row>
    <row r="55" ht="14" customHeight="1">
      <c r="A55" s="160" t="s">
        <v>117</v>
      </c>
      <c r="B55" s="160" t="s">
        <v>118</v>
      </c>
      <c r="C55" s="160" t="n">
        <v>2</v>
      </c>
      <c r="D55" s="160" t="n">
        <v>2</v>
      </c>
      <c r="E55" s="160" t="s">
        <v>527</v>
      </c>
      <c r="F55" s="160" t="s">
        <v>480</v>
      </c>
      <c r="G55" s="164" t="s">
        <v>528</v>
      </c>
      <c r="H55" s="165" t="n">
        <v>0.3</v>
      </c>
      <c r="I55" s="162" t="n">
        <v>2.4</v>
      </c>
      <c r="J55" s="162" t="n">
        <v>4.5</v>
      </c>
      <c r="K55" s="162" t="n">
        <v>8.4</v>
      </c>
      <c r="L55" s="165" t="s">
        <v>529</v>
      </c>
      <c r="M55" s="117" t="n"/>
      <c r="N55" s="117" t="n"/>
      <c r="O55" s="117" t="n"/>
    </row>
    <row r="56" ht="14" customHeight="1">
      <c r="A56" s="160" t="s">
        <v>117</v>
      </c>
      <c r="B56" s="160" t="s">
        <v>118</v>
      </c>
      <c r="C56" s="160" t="n">
        <v>2</v>
      </c>
      <c r="D56" s="160" t="n">
        <v>3</v>
      </c>
      <c r="E56" s="160" t="s">
        <v>562</v>
      </c>
      <c r="F56" s="160" t="s">
        <v>484</v>
      </c>
      <c r="G56" s="149" t="s">
        <v>481</v>
      </c>
      <c r="H56" s="165" t="n">
        <v>0.6</v>
      </c>
      <c r="I56" s="162" t="n">
        <v>3</v>
      </c>
      <c r="J56" s="162" t="n">
        <v>6</v>
      </c>
      <c r="K56" s="162" t="n">
        <v>12</v>
      </c>
      <c r="L56" s="165" t="s">
        <v>531</v>
      </c>
      <c r="M56" s="117" t="n"/>
      <c r="N56" s="117" t="n"/>
      <c r="O56" s="117" t="n"/>
    </row>
    <row r="57" ht="14" customHeight="1">
      <c r="A57" s="160" t="s">
        <v>117</v>
      </c>
      <c r="B57" s="160" t="s">
        <v>118</v>
      </c>
      <c r="C57" s="160" t="n">
        <v>2</v>
      </c>
      <c r="D57" s="160" t="n">
        <v>4</v>
      </c>
      <c r="E57" s="160" t="s">
        <v>563</v>
      </c>
      <c r="F57" s="160" t="s">
        <v>487</v>
      </c>
      <c r="G57" s="149" t="s">
        <v>481</v>
      </c>
      <c r="H57" s="165" t="n">
        <v>0.6</v>
      </c>
      <c r="I57" s="162" t="n">
        <v>4.8</v>
      </c>
      <c r="J57" s="162" t="n">
        <v>10.8</v>
      </c>
      <c r="K57" s="162" t="n">
        <v>21</v>
      </c>
      <c r="L57" s="165" t="s">
        <v>533</v>
      </c>
      <c r="M57" s="118" t="n"/>
      <c r="N57" s="118" t="n"/>
      <c r="O57" s="118" t="n"/>
    </row>
    <row r="58" ht="14" customHeight="1">
      <c r="A58" s="160" t="s">
        <v>117</v>
      </c>
      <c r="B58" s="160" t="s">
        <v>118</v>
      </c>
      <c r="C58" s="160" t="n">
        <v>2</v>
      </c>
      <c r="D58" s="160" t="n">
        <v>5</v>
      </c>
      <c r="E58" s="160" t="s">
        <v>564</v>
      </c>
      <c r="F58" s="160" t="s">
        <v>490</v>
      </c>
      <c r="G58" s="149" t="s">
        <v>481</v>
      </c>
      <c r="H58" s="165" t="n">
        <v>0.6</v>
      </c>
      <c r="I58" s="162" t="n">
        <v>3.6</v>
      </c>
      <c r="J58" s="162" t="n">
        <v>7.2</v>
      </c>
      <c r="K58" s="162" t="n">
        <v>13.2</v>
      </c>
      <c r="L58" s="165" t="s">
        <v>565</v>
      </c>
      <c r="M58" s="103" t="n"/>
      <c r="N58" s="103" t="n"/>
      <c r="O58" s="103" t="n"/>
    </row>
    <row r="59" ht="14" customHeight="1">
      <c r="A59" s="160" t="s">
        <v>117</v>
      </c>
      <c r="B59" s="160" t="s">
        <v>118</v>
      </c>
      <c r="C59" s="160" t="n">
        <v>2</v>
      </c>
      <c r="D59" s="160" t="n">
        <v>6</v>
      </c>
      <c r="E59" s="160" t="s">
        <v>566</v>
      </c>
      <c r="F59" s="160" t="s">
        <v>493</v>
      </c>
      <c r="G59" s="146" t="s">
        <v>477</v>
      </c>
      <c r="H59" s="165" t="n">
        <v>1</v>
      </c>
      <c r="I59" s="162" t="n">
        <v>8</v>
      </c>
      <c r="J59" s="162" t="n">
        <v>16</v>
      </c>
      <c r="K59" s="162" t="n">
        <v>30</v>
      </c>
      <c r="L59" s="165" t="s">
        <v>494</v>
      </c>
      <c r="M59" s="103" t="n"/>
      <c r="N59" s="103" t="n"/>
      <c r="O59" s="103" t="n"/>
    </row>
    <row r="60" ht="14" customHeight="1">
      <c r="A60" s="160" t="s">
        <v>117</v>
      </c>
      <c r="B60" s="160" t="s">
        <v>118</v>
      </c>
      <c r="C60" s="160" t="n">
        <v>2</v>
      </c>
      <c r="D60" s="160" t="n">
        <v>7</v>
      </c>
      <c r="E60" s="160" t="s">
        <v>567</v>
      </c>
      <c r="F60" s="160" t="s">
        <v>496</v>
      </c>
      <c r="G60" s="146" t="s">
        <v>477</v>
      </c>
      <c r="H60" s="165" t="n">
        <v>1</v>
      </c>
      <c r="I60" s="162" t="n">
        <v>10</v>
      </c>
      <c r="J60" s="162" t="n">
        <v>20</v>
      </c>
      <c r="K60" s="162" t="n">
        <v>40</v>
      </c>
      <c r="L60" s="165" t="s">
        <v>497</v>
      </c>
      <c r="M60" s="103" t="n"/>
      <c r="N60" s="103" t="n"/>
      <c r="O60" s="103" t="n"/>
    </row>
    <row r="61" ht="14" customHeight="1">
      <c r="A61" s="160" t="s">
        <v>117</v>
      </c>
      <c r="B61" s="160" t="s">
        <v>118</v>
      </c>
      <c r="C61" s="160" t="n">
        <v>2</v>
      </c>
      <c r="D61" s="160" t="n">
        <v>8</v>
      </c>
      <c r="E61" s="160" t="s">
        <v>568</v>
      </c>
      <c r="F61" s="160" t="s">
        <v>499</v>
      </c>
      <c r="G61" s="146" t="s">
        <v>477</v>
      </c>
      <c r="H61" s="165" t="n">
        <v>1</v>
      </c>
      <c r="I61" s="162" t="n">
        <v>8</v>
      </c>
      <c r="J61" s="162" t="n">
        <v>15</v>
      </c>
      <c r="K61" s="162" t="n">
        <v>28</v>
      </c>
      <c r="L61" s="165" t="s">
        <v>500</v>
      </c>
      <c r="M61" s="103" t="n"/>
      <c r="N61" s="103" t="n"/>
      <c r="O61" s="103" t="n"/>
    </row>
    <row r="62" ht="14" customHeight="1">
      <c r="A62" s="160" t="s">
        <v>117</v>
      </c>
      <c r="B62" s="160" t="s">
        <v>118</v>
      </c>
      <c r="C62" s="160" t="n">
        <v>2</v>
      </c>
      <c r="D62" s="160" t="n">
        <v>9</v>
      </c>
      <c r="E62" s="160" t="s">
        <v>501</v>
      </c>
      <c r="F62" s="160" t="s">
        <v>502</v>
      </c>
      <c r="G62" s="146" t="s">
        <v>477</v>
      </c>
      <c r="H62" s="165" t="n">
        <v>1</v>
      </c>
      <c r="I62" s="162" t="n">
        <v>3</v>
      </c>
      <c r="J62" s="162" t="n">
        <v>6</v>
      </c>
      <c r="K62" s="162" t="n">
        <v>12</v>
      </c>
      <c r="L62" s="165" t="s">
        <v>503</v>
      </c>
      <c r="M62" s="118" t="n"/>
      <c r="N62" s="118" t="n"/>
      <c r="O62" s="118" t="n"/>
    </row>
    <row r="63" ht="14" customHeight="1">
      <c r="A63" s="160" t="s">
        <v>117</v>
      </c>
      <c r="B63" s="160" t="s">
        <v>118</v>
      </c>
      <c r="C63" s="160" t="n">
        <v>2</v>
      </c>
      <c r="D63" s="160" t="n">
        <v>10</v>
      </c>
      <c r="E63" s="160" t="s">
        <v>569</v>
      </c>
      <c r="F63" s="160" t="s">
        <v>505</v>
      </c>
      <c r="G63" s="146" t="s">
        <v>477</v>
      </c>
      <c r="H63" s="165" t="n">
        <v>1</v>
      </c>
      <c r="I63" s="162" t="n">
        <v>6</v>
      </c>
      <c r="J63" s="162" t="n">
        <v>12</v>
      </c>
      <c r="K63" s="162" t="n">
        <v>22</v>
      </c>
      <c r="L63" s="165" t="s">
        <v>506</v>
      </c>
      <c r="M63" s="103" t="n"/>
      <c r="N63" s="103" t="n"/>
      <c r="O63" s="103" t="n"/>
    </row>
    <row r="64" ht="14" customHeight="1">
      <c r="A64" s="152">
        <is>
          <t xml:space="preserve">  ↳ PB-VIEW-01 L2 total</t>
        </is>
      </c>
      <c r="B64" s="152" t="n"/>
      <c r="C64" s="152" t="n"/>
      <c r="D64" s="152" t="n"/>
      <c r="E64" s="152" t="n"/>
      <c r="F64" s="152" t="n"/>
      <c r="G64" s="152" t="n"/>
      <c r="H64" s="166" t="n"/>
      <c r="I64" s="154" t="n">
        <v>53.8</v>
      </c>
      <c r="J64" s="154" t="n">
        <v>105.5</v>
      </c>
      <c r="K64" s="154" t="n">
        <v>201.6</v>
      </c>
      <c r="L64" s="166" t="s">
        <v>570</v>
      </c>
      <c r="M64" s="103" t="n"/>
      <c r="N64" s="103" t="n"/>
      <c r="O64" s="103" t="n"/>
    </row>
    <row r="65" ht="14" customHeight="1">
      <c r="A65" s="145" t="s">
        <v>121</v>
      </c>
      <c r="B65" s="145" t="s">
        <v>122</v>
      </c>
      <c r="C65" s="145" t="n">
        <v>2</v>
      </c>
      <c r="D65" s="145" t="n">
        <v>1</v>
      </c>
      <c r="E65" s="145" t="s">
        <v>571</v>
      </c>
      <c r="F65" s="145" t="s">
        <v>476</v>
      </c>
      <c r="G65" s="146" t="s">
        <v>477</v>
      </c>
      <c r="H65" s="147" t="n">
        <v>1</v>
      </c>
      <c r="I65" s="148" t="n">
        <v>5</v>
      </c>
      <c r="J65" s="148" t="n">
        <v>8</v>
      </c>
      <c r="K65" s="148" t="n">
        <v>15</v>
      </c>
      <c r="L65" s="147" t="s">
        <v>478</v>
      </c>
      <c r="M65" s="103" t="n"/>
      <c r="N65" s="103" t="n"/>
      <c r="O65" s="103" t="n"/>
    </row>
    <row r="66" ht="14" customHeight="1">
      <c r="A66" s="145" t="s">
        <v>121</v>
      </c>
      <c r="B66" s="145" t="s">
        <v>122</v>
      </c>
      <c r="C66" s="145" t="n">
        <v>2</v>
      </c>
      <c r="D66" s="145" t="n">
        <v>2</v>
      </c>
      <c r="E66" s="145" t="s">
        <v>527</v>
      </c>
      <c r="F66" s="145" t="s">
        <v>480</v>
      </c>
      <c r="G66" s="164" t="s">
        <v>528</v>
      </c>
      <c r="H66" s="147" t="n">
        <v>0.3</v>
      </c>
      <c r="I66" s="148" t="n">
        <v>2.4</v>
      </c>
      <c r="J66" s="148" t="n">
        <v>4.5</v>
      </c>
      <c r="K66" s="148" t="n">
        <v>8.4</v>
      </c>
      <c r="L66" s="147" t="s">
        <v>529</v>
      </c>
      <c r="M66" s="103" t="n"/>
      <c r="N66" s="103" t="n"/>
      <c r="O66" s="103" t="n"/>
    </row>
    <row r="67" ht="14" customHeight="1">
      <c r="A67" s="145" t="s">
        <v>121</v>
      </c>
      <c r="B67" s="145" t="s">
        <v>122</v>
      </c>
      <c r="C67" s="145" t="n">
        <v>2</v>
      </c>
      <c r="D67" s="145" t="n">
        <v>3</v>
      </c>
      <c r="E67" s="145" t="s">
        <v>572</v>
      </c>
      <c r="F67" s="145" t="s">
        <v>484</v>
      </c>
      <c r="G67" s="149" t="s">
        <v>481</v>
      </c>
      <c r="H67" s="147" t="n">
        <v>0.6</v>
      </c>
      <c r="I67" s="148" t="n">
        <v>3</v>
      </c>
      <c r="J67" s="148" t="n">
        <v>6</v>
      </c>
      <c r="K67" s="148" t="n">
        <v>12</v>
      </c>
      <c r="L67" s="147" t="s">
        <v>531</v>
      </c>
      <c r="M67" s="118" t="n"/>
      <c r="N67" s="118" t="n"/>
      <c r="O67" s="118" t="n"/>
    </row>
    <row r="68" ht="14" customHeight="1">
      <c r="A68" s="145" t="s">
        <v>121</v>
      </c>
      <c r="B68" s="145" t="s">
        <v>122</v>
      </c>
      <c r="C68" s="145" t="n">
        <v>2</v>
      </c>
      <c r="D68" s="145" t="n">
        <v>4</v>
      </c>
      <c r="E68" s="145" t="s">
        <v>573</v>
      </c>
      <c r="F68" s="145" t="s">
        <v>487</v>
      </c>
      <c r="G68" s="149" t="s">
        <v>481</v>
      </c>
      <c r="H68" s="147" t="n">
        <v>0.6</v>
      </c>
      <c r="I68" s="148" t="n">
        <v>4.8</v>
      </c>
      <c r="J68" s="148" t="n">
        <v>10.8</v>
      </c>
      <c r="K68" s="148" t="n">
        <v>21</v>
      </c>
      <c r="L68" s="147" t="s">
        <v>533</v>
      </c>
      <c r="M68" s="117" t="n"/>
      <c r="N68" s="117" t="n"/>
      <c r="O68" s="117" t="n"/>
    </row>
    <row r="69" ht="14" customHeight="1">
      <c r="A69" s="145" t="s">
        <v>121</v>
      </c>
      <c r="B69" s="145" t="s">
        <v>122</v>
      </c>
      <c r="C69" s="145" t="n">
        <v>2</v>
      </c>
      <c r="D69" s="145" t="n">
        <v>5</v>
      </c>
      <c r="E69" s="145" t="s">
        <v>574</v>
      </c>
      <c r="F69" s="145" t="s">
        <v>490</v>
      </c>
      <c r="G69" s="149" t="s">
        <v>481</v>
      </c>
      <c r="H69" s="147" t="n">
        <v>0.6</v>
      </c>
      <c r="I69" s="148" t="n">
        <v>3.6</v>
      </c>
      <c r="J69" s="148" t="n">
        <v>7.2</v>
      </c>
      <c r="K69" s="148" t="n">
        <v>13.2</v>
      </c>
      <c r="L69" s="147" t="s">
        <v>565</v>
      </c>
      <c r="M69" s="117" t="n"/>
      <c r="N69" s="117" t="n"/>
      <c r="O69" s="117" t="n"/>
    </row>
    <row r="70" ht="14" customHeight="1">
      <c r="A70" s="145" t="s">
        <v>121</v>
      </c>
      <c r="B70" s="145" t="s">
        <v>122</v>
      </c>
      <c r="C70" s="145" t="n">
        <v>2</v>
      </c>
      <c r="D70" s="145" t="n">
        <v>6</v>
      </c>
      <c r="E70" s="145" t="s">
        <v>575</v>
      </c>
      <c r="F70" s="145" t="s">
        <v>493</v>
      </c>
      <c r="G70" s="149" t="s">
        <v>481</v>
      </c>
      <c r="H70" s="147" t="n">
        <v>0.6</v>
      </c>
      <c r="I70" s="148" t="n">
        <v>4.8</v>
      </c>
      <c r="J70" s="148" t="n">
        <v>9.6</v>
      </c>
      <c r="K70" s="148" t="n">
        <v>18</v>
      </c>
      <c r="L70" s="147" t="s">
        <v>576</v>
      </c>
      <c r="M70" s="117" t="n"/>
      <c r="N70" s="117" t="n"/>
      <c r="O70" s="117" t="n"/>
    </row>
    <row r="71" ht="14" customHeight="1">
      <c r="A71" s="145" t="s">
        <v>121</v>
      </c>
      <c r="B71" s="145" t="s">
        <v>122</v>
      </c>
      <c r="C71" s="145" t="n">
        <v>2</v>
      </c>
      <c r="D71" s="145" t="n">
        <v>7</v>
      </c>
      <c r="E71" s="145" t="s">
        <v>577</v>
      </c>
      <c r="F71" s="145" t="s">
        <v>496</v>
      </c>
      <c r="G71" s="146" t="s">
        <v>477</v>
      </c>
      <c r="H71" s="147" t="n">
        <v>1</v>
      </c>
      <c r="I71" s="148" t="n">
        <v>10</v>
      </c>
      <c r="J71" s="148" t="n">
        <v>20</v>
      </c>
      <c r="K71" s="148" t="n">
        <v>40</v>
      </c>
      <c r="L71" s="147" t="s">
        <v>497</v>
      </c>
      <c r="M71" s="117" t="n"/>
      <c r="N71" s="117" t="n"/>
      <c r="O71" s="117" t="n"/>
    </row>
    <row r="72" ht="14" customHeight="1">
      <c r="A72" s="145" t="s">
        <v>121</v>
      </c>
      <c r="B72" s="145" t="s">
        <v>122</v>
      </c>
      <c r="C72" s="145" t="n">
        <v>2</v>
      </c>
      <c r="D72" s="145" t="n">
        <v>8</v>
      </c>
      <c r="E72" s="145" t="s">
        <v>578</v>
      </c>
      <c r="F72" s="145" t="s">
        <v>499</v>
      </c>
      <c r="G72" s="146" t="s">
        <v>477</v>
      </c>
      <c r="H72" s="147" t="n">
        <v>1</v>
      </c>
      <c r="I72" s="148" t="n">
        <v>8</v>
      </c>
      <c r="J72" s="148" t="n">
        <v>15</v>
      </c>
      <c r="K72" s="148" t="n">
        <v>28</v>
      </c>
      <c r="L72" s="147" t="s">
        <v>500</v>
      </c>
      <c r="M72" s="117" t="n"/>
      <c r="N72" s="117" t="n"/>
      <c r="O72" s="117" t="n"/>
    </row>
    <row r="73" ht="14" customHeight="1">
      <c r="A73" s="145" t="s">
        <v>121</v>
      </c>
      <c r="B73" s="145" t="s">
        <v>122</v>
      </c>
      <c r="C73" s="145" t="n">
        <v>2</v>
      </c>
      <c r="D73" s="145" t="n">
        <v>9</v>
      </c>
      <c r="E73" s="145" t="s">
        <v>501</v>
      </c>
      <c r="F73" s="145" t="s">
        <v>502</v>
      </c>
      <c r="G73" s="146" t="s">
        <v>477</v>
      </c>
      <c r="H73" s="147" t="n">
        <v>1</v>
      </c>
      <c r="I73" s="148" t="n">
        <v>3</v>
      </c>
      <c r="J73" s="148" t="n">
        <v>6</v>
      </c>
      <c r="K73" s="148" t="n">
        <v>12</v>
      </c>
      <c r="L73" s="147" t="s">
        <v>503</v>
      </c>
      <c r="M73" s="117" t="n"/>
      <c r="N73" s="117" t="n"/>
      <c r="O73" s="117" t="n"/>
    </row>
    <row r="74" ht="14" customHeight="1">
      <c r="A74" s="145" t="s">
        <v>121</v>
      </c>
      <c r="B74" s="145" t="s">
        <v>122</v>
      </c>
      <c r="C74" s="145" t="n">
        <v>2</v>
      </c>
      <c r="D74" s="145" t="n">
        <v>10</v>
      </c>
      <c r="E74" s="145" t="s">
        <v>579</v>
      </c>
      <c r="F74" s="145" t="s">
        <v>505</v>
      </c>
      <c r="G74" s="146" t="s">
        <v>477</v>
      </c>
      <c r="H74" s="147" t="n">
        <v>1</v>
      </c>
      <c r="I74" s="148" t="n">
        <v>6</v>
      </c>
      <c r="J74" s="148" t="n">
        <v>12</v>
      </c>
      <c r="K74" s="148" t="n">
        <v>22</v>
      </c>
      <c r="L74" s="147" t="s">
        <v>506</v>
      </c>
      <c r="M74" s="117" t="n"/>
      <c r="N74" s="117" t="n"/>
      <c r="O74" s="117" t="n"/>
    </row>
    <row r="75" ht="14" customHeight="1">
      <c r="A75" s="167">
        <is>
          <t xml:space="preserve">  ↳ PB-EDIT-01 L2 total</t>
        </is>
      </c>
      <c r="B75" s="167" t="n"/>
      <c r="C75" s="167" t="n"/>
      <c r="D75" s="167" t="n"/>
      <c r="E75" s="167" t="n"/>
      <c r="F75" s="167" t="n"/>
      <c r="G75" s="167" t="n"/>
      <c r="H75" s="167" t="n"/>
      <c r="I75" s="168" t="n">
        <v>50.6</v>
      </c>
      <c r="J75" s="168" t="n">
        <v>99.09999999999999</v>
      </c>
      <c r="K75" s="168" t="n">
        <v>189.6</v>
      </c>
      <c r="L75" s="167" t="s">
        <v>580</v>
      </c>
      <c r="M75" s="118" t="n"/>
      <c r="N75" s="118" t="n"/>
      <c r="O75" s="118" t="n"/>
    </row>
    <row r="76" ht="14" customHeight="1">
      <c r="A76" s="145" t="s">
        <v>125</v>
      </c>
      <c r="B76" s="145" t="s">
        <v>126</v>
      </c>
      <c r="C76" s="145" t="n">
        <v>2</v>
      </c>
      <c r="D76" s="145" t="n">
        <v>1</v>
      </c>
      <c r="E76" s="145" t="s">
        <v>581</v>
      </c>
      <c r="F76" s="145" t="s">
        <v>476</v>
      </c>
      <c r="G76" s="146" t="s">
        <v>477</v>
      </c>
      <c r="H76" s="147" t="n">
        <v>1</v>
      </c>
      <c r="I76" s="148" t="n">
        <v>5</v>
      </c>
      <c r="J76" s="148" t="n">
        <v>8</v>
      </c>
      <c r="K76" s="148" t="n">
        <v>15</v>
      </c>
      <c r="L76" s="147" t="s">
        <v>478</v>
      </c>
      <c r="M76" s="113" t="n"/>
      <c r="N76" s="113" t="n"/>
      <c r="O76" s="113" t="n"/>
    </row>
    <row r="77" ht="14" customHeight="1">
      <c r="A77" s="145" t="s">
        <v>125</v>
      </c>
      <c r="B77" s="145" t="s">
        <v>126</v>
      </c>
      <c r="C77" s="145" t="n">
        <v>2</v>
      </c>
      <c r="D77" s="145" t="n">
        <v>2</v>
      </c>
      <c r="E77" s="145" t="s">
        <v>527</v>
      </c>
      <c r="F77" s="145" t="s">
        <v>480</v>
      </c>
      <c r="G77" s="164" t="s">
        <v>528</v>
      </c>
      <c r="H77" s="147" t="n">
        <v>0.3</v>
      </c>
      <c r="I77" s="148" t="n">
        <v>2.4</v>
      </c>
      <c r="J77" s="148" t="n">
        <v>4.5</v>
      </c>
      <c r="K77" s="148" t="n">
        <v>8.4</v>
      </c>
      <c r="L77" s="147" t="s">
        <v>529</v>
      </c>
      <c r="M77" s="113" t="n"/>
      <c r="N77" s="113" t="n"/>
      <c r="O77" s="113" t="n"/>
    </row>
    <row r="78" ht="14" customHeight="1">
      <c r="A78" s="145" t="s">
        <v>125</v>
      </c>
      <c r="B78" s="145" t="s">
        <v>126</v>
      </c>
      <c r="C78" s="145" t="n">
        <v>2</v>
      </c>
      <c r="D78" s="145" t="n">
        <v>3</v>
      </c>
      <c r="E78" s="145" t="s">
        <v>582</v>
      </c>
      <c r="F78" s="145" t="s">
        <v>484</v>
      </c>
      <c r="G78" s="149" t="s">
        <v>481</v>
      </c>
      <c r="H78" s="147" t="n">
        <v>0.6</v>
      </c>
      <c r="I78" s="148" t="n">
        <v>3</v>
      </c>
      <c r="J78" s="148" t="n">
        <v>6</v>
      </c>
      <c r="K78" s="148" t="n">
        <v>12</v>
      </c>
      <c r="L78" s="147" t="s">
        <v>531</v>
      </c>
      <c r="M78" s="118" t="n"/>
      <c r="N78" s="118" t="n"/>
      <c r="O78" s="118" t="n"/>
    </row>
    <row r="79" ht="14" customHeight="1">
      <c r="A79" s="145" t="s">
        <v>125</v>
      </c>
      <c r="B79" s="145" t="s">
        <v>126</v>
      </c>
      <c r="C79" s="145" t="n">
        <v>2</v>
      </c>
      <c r="D79" s="145" t="n">
        <v>4</v>
      </c>
      <c r="E79" s="145" t="s">
        <v>583</v>
      </c>
      <c r="F79" s="145" t="s">
        <v>487</v>
      </c>
      <c r="G79" s="149" t="s">
        <v>481</v>
      </c>
      <c r="H79" s="147" t="n">
        <v>0.6</v>
      </c>
      <c r="I79" s="148" t="n">
        <v>4.8</v>
      </c>
      <c r="J79" s="148" t="n">
        <v>10.8</v>
      </c>
      <c r="K79" s="148" t="n">
        <v>21</v>
      </c>
      <c r="L79" s="147" t="s">
        <v>533</v>
      </c>
      <c r="M79" s="113" t="n"/>
      <c r="N79" s="113" t="n"/>
      <c r="O79" s="113" t="n"/>
    </row>
    <row r="80" ht="14" customHeight="1">
      <c r="A80" s="145" t="s">
        <v>125</v>
      </c>
      <c r="B80" s="145" t="s">
        <v>126</v>
      </c>
      <c r="C80" s="145" t="n">
        <v>2</v>
      </c>
      <c r="D80" s="145" t="n">
        <v>5</v>
      </c>
      <c r="E80" s="145" t="s">
        <v>584</v>
      </c>
      <c r="F80" s="145" t="s">
        <v>490</v>
      </c>
      <c r="G80" s="149" t="s">
        <v>481</v>
      </c>
      <c r="H80" s="147" t="n">
        <v>0.6</v>
      </c>
      <c r="I80" s="148" t="n">
        <v>3.6</v>
      </c>
      <c r="J80" s="148" t="n">
        <v>7.2</v>
      </c>
      <c r="K80" s="148" t="n">
        <v>13.2</v>
      </c>
      <c r="L80" s="147" t="s">
        <v>565</v>
      </c>
      <c r="M80" s="113" t="n"/>
      <c r="N80" s="113" t="n"/>
      <c r="O80" s="113" t="n"/>
    </row>
    <row r="81" ht="14" customHeight="1">
      <c r="A81" s="145" t="s">
        <v>125</v>
      </c>
      <c r="B81" s="145" t="s">
        <v>126</v>
      </c>
      <c r="C81" s="145" t="n">
        <v>2</v>
      </c>
      <c r="D81" s="145" t="n">
        <v>6</v>
      </c>
      <c r="E81" s="145" t="s">
        <v>585</v>
      </c>
      <c r="F81" s="145" t="s">
        <v>493</v>
      </c>
      <c r="G81" s="149" t="s">
        <v>481</v>
      </c>
      <c r="H81" s="147" t="n">
        <v>0.6</v>
      </c>
      <c r="I81" s="148" t="n">
        <v>4.8</v>
      </c>
      <c r="J81" s="148" t="n">
        <v>9.6</v>
      </c>
      <c r="K81" s="148" t="n">
        <v>18</v>
      </c>
      <c r="L81" s="147" t="s">
        <v>576</v>
      </c>
      <c r="M81" s="118" t="n"/>
      <c r="N81" s="118" t="n"/>
      <c r="O81" s="118" t="n"/>
    </row>
    <row r="82" ht="14" customHeight="1">
      <c r="A82" s="145" t="s">
        <v>125</v>
      </c>
      <c r="B82" s="145" t="s">
        <v>126</v>
      </c>
      <c r="C82" s="145" t="n">
        <v>2</v>
      </c>
      <c r="D82" s="145" t="n">
        <v>7</v>
      </c>
      <c r="E82" s="145" t="s">
        <v>586</v>
      </c>
      <c r="F82" s="145" t="s">
        <v>496</v>
      </c>
      <c r="G82" s="146" t="s">
        <v>477</v>
      </c>
      <c r="H82" s="147" t="n">
        <v>1</v>
      </c>
      <c r="I82" s="148" t="n">
        <v>10</v>
      </c>
      <c r="J82" s="148" t="n">
        <v>20</v>
      </c>
      <c r="K82" s="148" t="n">
        <v>40</v>
      </c>
      <c r="L82" s="147" t="s">
        <v>497</v>
      </c>
      <c r="M82" s="117" t="n"/>
      <c r="N82" s="117" t="n"/>
      <c r="O82" s="117" t="n"/>
    </row>
    <row r="83" ht="14" customHeight="1">
      <c r="A83" s="145" t="s">
        <v>125</v>
      </c>
      <c r="B83" s="145" t="s">
        <v>126</v>
      </c>
      <c r="C83" s="145" t="n">
        <v>2</v>
      </c>
      <c r="D83" s="145" t="n">
        <v>8</v>
      </c>
      <c r="E83" s="145" t="s">
        <v>587</v>
      </c>
      <c r="F83" s="145" t="s">
        <v>499</v>
      </c>
      <c r="G83" s="146" t="s">
        <v>477</v>
      </c>
      <c r="H83" s="147" t="n">
        <v>1</v>
      </c>
      <c r="I83" s="148" t="n">
        <v>8</v>
      </c>
      <c r="J83" s="148" t="n">
        <v>15</v>
      </c>
      <c r="K83" s="148" t="n">
        <v>28</v>
      </c>
      <c r="L83" s="147" t="s">
        <v>500</v>
      </c>
      <c r="M83" s="117" t="n"/>
      <c r="N83" s="117" t="n"/>
      <c r="O83" s="117" t="n"/>
    </row>
    <row r="84" ht="14" customHeight="1">
      <c r="A84" s="145" t="s">
        <v>125</v>
      </c>
      <c r="B84" s="145" t="s">
        <v>126</v>
      </c>
      <c r="C84" s="145" t="n">
        <v>2</v>
      </c>
      <c r="D84" s="145" t="n">
        <v>9</v>
      </c>
      <c r="E84" s="145" t="s">
        <v>501</v>
      </c>
      <c r="F84" s="145" t="s">
        <v>502</v>
      </c>
      <c r="G84" s="146" t="s">
        <v>477</v>
      </c>
      <c r="H84" s="147" t="n">
        <v>1</v>
      </c>
      <c r="I84" s="148" t="n">
        <v>3</v>
      </c>
      <c r="J84" s="148" t="n">
        <v>6</v>
      </c>
      <c r="K84" s="148" t="n">
        <v>12</v>
      </c>
      <c r="L84" s="147" t="s">
        <v>503</v>
      </c>
      <c r="M84" s="117" t="n"/>
      <c r="N84" s="117" t="n"/>
      <c r="O84" s="117" t="n"/>
    </row>
    <row r="85" ht="14" customHeight="1">
      <c r="A85" s="152">
        <is>
          <t xml:space="preserve">  ↳ PB-DELETE-01 L2 total</t>
        </is>
      </c>
      <c r="B85" s="152" t="n"/>
      <c r="C85" s="152" t="n"/>
      <c r="D85" s="152" t="n"/>
      <c r="E85" s="152" t="n"/>
      <c r="F85" s="152" t="n"/>
      <c r="G85" s="152" t="n"/>
      <c r="H85" s="166" t="n"/>
      <c r="I85" s="154" t="n">
        <v>44.6</v>
      </c>
      <c r="J85" s="154" t="n">
        <v>87.09999999999999</v>
      </c>
      <c r="K85" s="154" t="n">
        <v>167.6</v>
      </c>
      <c r="L85" s="166" t="s">
        <v>588</v>
      </c>
      <c r="M85" s="117" t="n"/>
      <c r="N85" s="117" t="n"/>
      <c r="O85" s="117" t="n"/>
    </row>
    <row r="86" ht="14" customHeight="1">
      <c r="A86" s="160" t="s">
        <v>129</v>
      </c>
      <c r="B86" s="160" t="s">
        <v>130</v>
      </c>
      <c r="C86" s="160" t="n">
        <v>2</v>
      </c>
      <c r="D86" s="160" t="n">
        <v>1</v>
      </c>
      <c r="E86" s="160" t="s">
        <v>589</v>
      </c>
      <c r="F86" s="160" t="s">
        <v>476</v>
      </c>
      <c r="G86" s="146" t="s">
        <v>477</v>
      </c>
      <c r="H86" s="165" t="n">
        <v>1</v>
      </c>
      <c r="I86" s="162" t="n">
        <v>5</v>
      </c>
      <c r="J86" s="162" t="n">
        <v>8</v>
      </c>
      <c r="K86" s="162" t="n">
        <v>15</v>
      </c>
      <c r="L86" s="165" t="s">
        <v>478</v>
      </c>
      <c r="M86" s="117" t="n"/>
      <c r="N86" s="117" t="n"/>
      <c r="O86" s="117" t="n"/>
    </row>
    <row r="87" ht="14" customHeight="1">
      <c r="A87" s="160" t="s">
        <v>129</v>
      </c>
      <c r="B87" s="160" t="s">
        <v>130</v>
      </c>
      <c r="C87" s="160" t="n">
        <v>2</v>
      </c>
      <c r="D87" s="160" t="n">
        <v>2</v>
      </c>
      <c r="E87" s="160" t="s">
        <v>590</v>
      </c>
      <c r="F87" s="160" t="s">
        <v>480</v>
      </c>
      <c r="G87" s="164" t="s">
        <v>528</v>
      </c>
      <c r="H87" s="165" t="n">
        <v>0.3</v>
      </c>
      <c r="I87" s="162" t="n">
        <v>2.4</v>
      </c>
      <c r="J87" s="162" t="n">
        <v>4.5</v>
      </c>
      <c r="K87" s="162" t="n">
        <v>8.4</v>
      </c>
      <c r="L87" s="165" t="s">
        <v>529</v>
      </c>
      <c r="M87" s="117" t="n"/>
      <c r="N87" s="117" t="n"/>
      <c r="O87" s="117" t="n"/>
    </row>
    <row r="88" ht="14" customHeight="1">
      <c r="A88" s="160" t="s">
        <v>129</v>
      </c>
      <c r="B88" s="160" t="s">
        <v>130</v>
      </c>
      <c r="C88" s="160" t="n">
        <v>2</v>
      </c>
      <c r="D88" s="160" t="n">
        <v>3</v>
      </c>
      <c r="E88" s="160" t="s">
        <v>591</v>
      </c>
      <c r="F88" s="160" t="s">
        <v>484</v>
      </c>
      <c r="G88" s="146" t="s">
        <v>477</v>
      </c>
      <c r="H88" s="165" t="n">
        <v>1</v>
      </c>
      <c r="I88" s="162" t="n">
        <v>5</v>
      </c>
      <c r="J88" s="162" t="n">
        <v>10</v>
      </c>
      <c r="K88" s="162" t="n">
        <v>20</v>
      </c>
      <c r="L88" s="165" t="s">
        <v>485</v>
      </c>
      <c r="M88" s="117" t="n"/>
      <c r="N88" s="117" t="n"/>
      <c r="O88" s="117" t="n"/>
    </row>
    <row r="89" ht="14" customHeight="1">
      <c r="A89" s="160" t="s">
        <v>129</v>
      </c>
      <c r="B89" s="160" t="s">
        <v>130</v>
      </c>
      <c r="C89" s="160" t="n">
        <v>2</v>
      </c>
      <c r="D89" s="160" t="n">
        <v>4</v>
      </c>
      <c r="E89" s="160" t="s">
        <v>592</v>
      </c>
      <c r="F89" s="160" t="s">
        <v>487</v>
      </c>
      <c r="G89" s="146" t="s">
        <v>477</v>
      </c>
      <c r="H89" s="165" t="n">
        <v>1</v>
      </c>
      <c r="I89" s="162" t="n">
        <v>8</v>
      </c>
      <c r="J89" s="162" t="n">
        <v>18</v>
      </c>
      <c r="K89" s="162" t="n">
        <v>35</v>
      </c>
      <c r="L89" s="165" t="s">
        <v>488</v>
      </c>
      <c r="M89" s="118" t="n"/>
      <c r="N89" s="118" t="n"/>
      <c r="O89" s="118" t="n"/>
    </row>
    <row r="90" ht="14" customHeight="1">
      <c r="A90" s="160" t="s">
        <v>129</v>
      </c>
      <c r="B90" s="160" t="s">
        <v>130</v>
      </c>
      <c r="C90" s="160" t="n">
        <v>2</v>
      </c>
      <c r="D90" s="160" t="n">
        <v>5</v>
      </c>
      <c r="E90" s="160" t="s">
        <v>593</v>
      </c>
      <c r="F90" s="160" t="s">
        <v>490</v>
      </c>
      <c r="G90" s="146" t="s">
        <v>477</v>
      </c>
      <c r="H90" s="165" t="n">
        <v>1</v>
      </c>
      <c r="I90" s="162" t="n">
        <v>6</v>
      </c>
      <c r="J90" s="162" t="n">
        <v>12</v>
      </c>
      <c r="K90" s="162" t="n">
        <v>22</v>
      </c>
      <c r="L90" s="165" t="s">
        <v>491</v>
      </c>
      <c r="M90" s="113" t="n"/>
      <c r="N90" s="113" t="n"/>
      <c r="O90" s="113" t="n"/>
    </row>
    <row r="91" ht="14" customHeight="1">
      <c r="A91" s="160" t="s">
        <v>129</v>
      </c>
      <c r="B91" s="160" t="s">
        <v>130</v>
      </c>
      <c r="C91" s="160" t="n">
        <v>2</v>
      </c>
      <c r="D91" s="160" t="n">
        <v>6</v>
      </c>
      <c r="E91" s="160" t="s">
        <v>594</v>
      </c>
      <c r="F91" s="160" t="s">
        <v>493</v>
      </c>
      <c r="G91" s="146" t="s">
        <v>477</v>
      </c>
      <c r="H91" s="165" t="n">
        <v>1</v>
      </c>
      <c r="I91" s="162" t="n">
        <v>8</v>
      </c>
      <c r="J91" s="162" t="n">
        <v>16</v>
      </c>
      <c r="K91" s="162" t="n">
        <v>30</v>
      </c>
      <c r="L91" s="165" t="s">
        <v>494</v>
      </c>
      <c r="M91" s="113" t="n"/>
      <c r="N91" s="113" t="n"/>
      <c r="O91" s="113" t="n"/>
    </row>
    <row r="92" ht="14" customHeight="1">
      <c r="A92" s="160" t="s">
        <v>129</v>
      </c>
      <c r="B92" s="160" t="s">
        <v>130</v>
      </c>
      <c r="C92" s="160" t="n">
        <v>2</v>
      </c>
      <c r="D92" s="160" t="n">
        <v>7</v>
      </c>
      <c r="E92" s="160" t="s">
        <v>595</v>
      </c>
      <c r="F92" s="160" t="s">
        <v>496</v>
      </c>
      <c r="G92" s="146" t="s">
        <v>477</v>
      </c>
      <c r="H92" s="165" t="n">
        <v>1</v>
      </c>
      <c r="I92" s="162" t="n">
        <v>10</v>
      </c>
      <c r="J92" s="162" t="n">
        <v>20</v>
      </c>
      <c r="K92" s="162" t="n">
        <v>40</v>
      </c>
      <c r="L92" s="165" t="s">
        <v>497</v>
      </c>
      <c r="M92" s="118" t="n"/>
      <c r="N92" s="118" t="n"/>
      <c r="O92" s="118" t="n"/>
    </row>
    <row r="93" ht="14" customHeight="1">
      <c r="A93" s="160" t="s">
        <v>129</v>
      </c>
      <c r="B93" s="160" t="s">
        <v>130</v>
      </c>
      <c r="C93" s="160" t="n">
        <v>2</v>
      </c>
      <c r="D93" s="160" t="n">
        <v>8</v>
      </c>
      <c r="E93" s="160" t="s">
        <v>596</v>
      </c>
      <c r="F93" s="160" t="s">
        <v>499</v>
      </c>
      <c r="G93" s="146" t="s">
        <v>477</v>
      </c>
      <c r="H93" s="165" t="n">
        <v>1</v>
      </c>
      <c r="I93" s="162" t="n">
        <v>8</v>
      </c>
      <c r="J93" s="162" t="n">
        <v>15</v>
      </c>
      <c r="K93" s="162" t="n">
        <v>28</v>
      </c>
      <c r="L93" s="165" t="s">
        <v>500</v>
      </c>
      <c r="M93" s="113" t="n"/>
      <c r="N93" s="113" t="n"/>
      <c r="O93" s="113" t="n"/>
    </row>
    <row r="94" ht="14" customHeight="1">
      <c r="A94" s="160" t="s">
        <v>129</v>
      </c>
      <c r="B94" s="160" t="s">
        <v>130</v>
      </c>
      <c r="C94" s="160" t="n">
        <v>2</v>
      </c>
      <c r="D94" s="160" t="n">
        <v>9</v>
      </c>
      <c r="E94" s="160" t="s">
        <v>501</v>
      </c>
      <c r="F94" s="160" t="s">
        <v>502</v>
      </c>
      <c r="G94" s="146" t="s">
        <v>477</v>
      </c>
      <c r="H94" s="165" t="n">
        <v>1</v>
      </c>
      <c r="I94" s="162" t="n">
        <v>3</v>
      </c>
      <c r="J94" s="162" t="n">
        <v>6</v>
      </c>
      <c r="K94" s="162" t="n">
        <v>12</v>
      </c>
      <c r="L94" s="165" t="s">
        <v>503</v>
      </c>
      <c r="M94" s="113" t="n"/>
      <c r="N94" s="113" t="n"/>
      <c r="O94" s="113" t="n"/>
    </row>
    <row r="95" ht="14" customHeight="1">
      <c r="A95" s="160" t="s">
        <v>129</v>
      </c>
      <c r="B95" s="160" t="s">
        <v>130</v>
      </c>
      <c r="C95" s="160" t="n">
        <v>2</v>
      </c>
      <c r="D95" s="160" t="n">
        <v>10</v>
      </c>
      <c r="E95" s="160" t="s">
        <v>597</v>
      </c>
      <c r="F95" s="160" t="s">
        <v>505</v>
      </c>
      <c r="G95" s="146" t="s">
        <v>477</v>
      </c>
      <c r="H95" s="165" t="n">
        <v>1</v>
      </c>
      <c r="I95" s="162" t="n">
        <v>6</v>
      </c>
      <c r="J95" s="162" t="n">
        <v>12</v>
      </c>
      <c r="K95" s="162" t="n">
        <v>22</v>
      </c>
      <c r="L95" s="165" t="s">
        <v>506</v>
      </c>
      <c r="M95" s="118" t="n"/>
      <c r="N95" s="118" t="n"/>
      <c r="O95" s="118" t="n"/>
    </row>
    <row r="96" ht="14" customHeight="1">
      <c r="A96" s="152">
        <is>
          <t xml:space="preserve">  ↳ PB-VERSION-01 L2 total</t>
        </is>
      </c>
      <c r="B96" s="152" t="n"/>
      <c r="C96" s="152" t="n"/>
      <c r="D96" s="152" t="n"/>
      <c r="E96" s="152" t="n"/>
      <c r="F96" s="152" t="n"/>
      <c r="G96" s="152" t="n"/>
      <c r="H96" s="166" t="n"/>
      <c r="I96" s="154" t="n">
        <v>61.4</v>
      </c>
      <c r="J96" s="154" t="n">
        <v>121.5</v>
      </c>
      <c r="K96" s="154" t="n">
        <v>232.4</v>
      </c>
      <c r="L96" s="166" t="s">
        <v>598</v>
      </c>
      <c r="M96" s="113" t="n"/>
      <c r="N96" s="113" t="n"/>
      <c r="O96" s="113" t="n"/>
    </row>
    <row r="97" ht="14" customHeight="1">
      <c r="A97" s="145" t="s">
        <v>133</v>
      </c>
      <c r="B97" s="145" t="s">
        <v>134</v>
      </c>
      <c r="C97" s="145" t="n">
        <v>2</v>
      </c>
      <c r="D97" s="145" t="n">
        <v>1</v>
      </c>
      <c r="E97" s="145" t="s">
        <v>599</v>
      </c>
      <c r="F97" s="145" t="s">
        <v>476</v>
      </c>
      <c r="G97" s="146" t="s">
        <v>477</v>
      </c>
      <c r="H97" s="147" t="n">
        <v>1</v>
      </c>
      <c r="I97" s="148" t="n">
        <v>5</v>
      </c>
      <c r="J97" s="148" t="n">
        <v>8</v>
      </c>
      <c r="K97" s="148" t="n">
        <v>15</v>
      </c>
      <c r="L97" s="147" t="s">
        <v>478</v>
      </c>
      <c r="M97" s="113" t="n"/>
      <c r="N97" s="113" t="n"/>
      <c r="O97" s="113" t="n"/>
    </row>
    <row r="98" ht="14" customHeight="1">
      <c r="A98" s="145" t="s">
        <v>133</v>
      </c>
      <c r="B98" s="145" t="s">
        <v>134</v>
      </c>
      <c r="C98" s="145" t="n">
        <v>2</v>
      </c>
      <c r="D98" s="145" t="n">
        <v>2</v>
      </c>
      <c r="E98" s="145" t="s">
        <v>600</v>
      </c>
      <c r="F98" s="145" t="s">
        <v>480</v>
      </c>
      <c r="G98" s="164" t="s">
        <v>528</v>
      </c>
      <c r="H98" s="147" t="n">
        <v>0.3</v>
      </c>
      <c r="I98" s="148" t="n">
        <v>2.4</v>
      </c>
      <c r="J98" s="148" t="n">
        <v>4.5</v>
      </c>
      <c r="K98" s="148" t="n">
        <v>8.4</v>
      </c>
      <c r="L98" s="147" t="s">
        <v>529</v>
      </c>
      <c r="M98" s="118" t="n"/>
      <c r="N98" s="118" t="n"/>
      <c r="O98" s="118" t="n"/>
    </row>
    <row r="99" ht="14" customHeight="1">
      <c r="A99" s="145" t="s">
        <v>133</v>
      </c>
      <c r="B99" s="145" t="s">
        <v>134</v>
      </c>
      <c r="C99" s="145" t="n">
        <v>2</v>
      </c>
      <c r="D99" s="145" t="n">
        <v>3</v>
      </c>
      <c r="E99" s="145" t="s">
        <v>601</v>
      </c>
      <c r="F99" s="145" t="s">
        <v>484</v>
      </c>
      <c r="G99" s="149" t="s">
        <v>481</v>
      </c>
      <c r="H99" s="147" t="n">
        <v>0.6</v>
      </c>
      <c r="I99" s="148" t="n">
        <v>3</v>
      </c>
      <c r="J99" s="148" t="n">
        <v>6</v>
      </c>
      <c r="K99" s="148" t="n">
        <v>12</v>
      </c>
      <c r="L99" s="147" t="s">
        <v>531</v>
      </c>
      <c r="M99" s="113" t="n"/>
      <c r="N99" s="113" t="n"/>
      <c r="O99" s="113" t="n"/>
    </row>
    <row r="100" ht="14" customHeight="1">
      <c r="A100" s="145" t="s">
        <v>133</v>
      </c>
      <c r="B100" s="145" t="s">
        <v>134</v>
      </c>
      <c r="C100" s="145" t="n">
        <v>2</v>
      </c>
      <c r="D100" s="145" t="n">
        <v>4</v>
      </c>
      <c r="E100" s="145" t="s">
        <v>602</v>
      </c>
      <c r="F100" s="145" t="s">
        <v>487</v>
      </c>
      <c r="G100" s="149" t="s">
        <v>481</v>
      </c>
      <c r="H100" s="147" t="n">
        <v>0.6</v>
      </c>
      <c r="I100" s="148" t="n">
        <v>4.8</v>
      </c>
      <c r="J100" s="148" t="n">
        <v>10.8</v>
      </c>
      <c r="K100" s="148" t="n">
        <v>21</v>
      </c>
      <c r="L100" s="147" t="s">
        <v>533</v>
      </c>
      <c r="M100" s="113" t="n"/>
      <c r="N100" s="113" t="n"/>
      <c r="O100" s="113" t="n"/>
    </row>
    <row r="101" ht="14" customHeight="1">
      <c r="A101" s="145" t="s">
        <v>133</v>
      </c>
      <c r="B101" s="145" t="s">
        <v>134</v>
      </c>
      <c r="C101" s="145" t="n">
        <v>2</v>
      </c>
      <c r="D101" s="145" t="n">
        <v>5</v>
      </c>
      <c r="E101" s="145" t="s">
        <v>603</v>
      </c>
      <c r="F101" s="145" t="s">
        <v>490</v>
      </c>
      <c r="G101" s="149" t="s">
        <v>481</v>
      </c>
      <c r="H101" s="147" t="n">
        <v>0.6</v>
      </c>
      <c r="I101" s="148" t="n">
        <v>3.6</v>
      </c>
      <c r="J101" s="148" t="n">
        <v>7.2</v>
      </c>
      <c r="K101" s="148" t="n">
        <v>13.2</v>
      </c>
      <c r="L101" s="147" t="s">
        <v>565</v>
      </c>
      <c r="M101" s="118" t="n"/>
      <c r="N101" s="118" t="n"/>
      <c r="O101" s="118" t="n"/>
    </row>
    <row r="102" ht="14" customHeight="1">
      <c r="A102" s="145" t="s">
        <v>133</v>
      </c>
      <c r="B102" s="145" t="s">
        <v>134</v>
      </c>
      <c r="C102" s="145" t="n">
        <v>2</v>
      </c>
      <c r="D102" s="145" t="n">
        <v>6</v>
      </c>
      <c r="E102" s="145" t="s">
        <v>604</v>
      </c>
      <c r="F102" s="145" t="s">
        <v>493</v>
      </c>
      <c r="G102" s="146" t="s">
        <v>477</v>
      </c>
      <c r="H102" s="147" t="n">
        <v>1</v>
      </c>
      <c r="I102" s="148" t="n">
        <v>8</v>
      </c>
      <c r="J102" s="148" t="n">
        <v>16</v>
      </c>
      <c r="K102" s="148" t="n">
        <v>30</v>
      </c>
      <c r="L102" s="147" t="s">
        <v>494</v>
      </c>
      <c r="M102" s="113" t="n"/>
      <c r="N102" s="113" t="n"/>
      <c r="O102" s="113" t="n"/>
    </row>
    <row r="103" ht="14" customHeight="1">
      <c r="A103" s="145" t="s">
        <v>133</v>
      </c>
      <c r="B103" s="145" t="s">
        <v>134</v>
      </c>
      <c r="C103" s="145" t="n">
        <v>2</v>
      </c>
      <c r="D103" s="145" t="n">
        <v>7</v>
      </c>
      <c r="E103" s="145" t="s">
        <v>605</v>
      </c>
      <c r="F103" s="145" t="s">
        <v>496</v>
      </c>
      <c r="G103" s="146" t="s">
        <v>477</v>
      </c>
      <c r="H103" s="147" t="n">
        <v>1</v>
      </c>
      <c r="I103" s="148" t="n">
        <v>10</v>
      </c>
      <c r="J103" s="148" t="n">
        <v>20</v>
      </c>
      <c r="K103" s="148" t="n">
        <v>40</v>
      </c>
      <c r="L103" s="147" t="s">
        <v>497</v>
      </c>
      <c r="M103" s="113" t="n"/>
      <c r="N103" s="113" t="n"/>
      <c r="O103" s="113" t="n"/>
    </row>
    <row r="104" ht="14" customHeight="1">
      <c r="A104" s="145" t="s">
        <v>133</v>
      </c>
      <c r="B104" s="145" t="s">
        <v>134</v>
      </c>
      <c r="C104" s="145" t="n">
        <v>2</v>
      </c>
      <c r="D104" s="145" t="n">
        <v>8</v>
      </c>
      <c r="E104" s="145" t="s">
        <v>538</v>
      </c>
      <c r="F104" s="145" t="s">
        <v>499</v>
      </c>
      <c r="G104" s="146" t="s">
        <v>477</v>
      </c>
      <c r="H104" s="147" t="n">
        <v>1</v>
      </c>
      <c r="I104" s="148" t="n">
        <v>8</v>
      </c>
      <c r="J104" s="148" t="n">
        <v>15</v>
      </c>
      <c r="K104" s="148" t="n">
        <v>28</v>
      </c>
      <c r="L104" s="147" t="s">
        <v>500</v>
      </c>
      <c r="M104" s="118" t="n"/>
      <c r="N104" s="118" t="n"/>
      <c r="O104" s="118" t="n"/>
    </row>
    <row r="105" ht="14" customHeight="1">
      <c r="A105" s="145" t="s">
        <v>133</v>
      </c>
      <c r="B105" s="145" t="s">
        <v>134</v>
      </c>
      <c r="C105" s="145" t="n">
        <v>2</v>
      </c>
      <c r="D105" s="145" t="n">
        <v>9</v>
      </c>
      <c r="E105" s="145" t="s">
        <v>501</v>
      </c>
      <c r="F105" s="145" t="s">
        <v>502</v>
      </c>
      <c r="G105" s="146" t="s">
        <v>477</v>
      </c>
      <c r="H105" s="147" t="n">
        <v>1</v>
      </c>
      <c r="I105" s="148" t="n">
        <v>3</v>
      </c>
      <c r="J105" s="148" t="n">
        <v>6</v>
      </c>
      <c r="K105" s="148" t="n">
        <v>12</v>
      </c>
      <c r="L105" s="147" t="s">
        <v>503</v>
      </c>
      <c r="M105" s="117" t="n"/>
      <c r="N105" s="117" t="n"/>
      <c r="O105" s="117" t="n"/>
    </row>
    <row r="106" ht="14" customHeight="1">
      <c r="A106" s="152">
        <is>
          <t xml:space="preserve">  ↳ WF-LIST-01 L2 total</t>
        </is>
      </c>
      <c r="B106" s="152" t="n"/>
      <c r="C106" s="152" t="n"/>
      <c r="D106" s="152" t="n"/>
      <c r="E106" s="152" t="n"/>
      <c r="F106" s="152" t="n"/>
      <c r="G106" s="152" t="n"/>
      <c r="H106" s="166" t="n"/>
      <c r="I106" s="154" t="n">
        <v>47.8</v>
      </c>
      <c r="J106" s="154" t="n">
        <v>93.5</v>
      </c>
      <c r="K106" s="154" t="n">
        <v>179.6</v>
      </c>
      <c r="L106" s="166" t="s">
        <v>606</v>
      </c>
      <c r="M106" s="117" t="n"/>
      <c r="N106" s="117" t="n"/>
      <c r="O106" s="117" t="n"/>
    </row>
    <row r="107" ht="14" customHeight="1">
      <c r="A107" s="145" t="s">
        <v>138</v>
      </c>
      <c r="B107" s="145" t="s">
        <v>139</v>
      </c>
      <c r="C107" s="145" t="n">
        <v>2</v>
      </c>
      <c r="D107" s="145" t="n">
        <v>1</v>
      </c>
      <c r="E107" s="145" t="s">
        <v>607</v>
      </c>
      <c r="F107" s="145" t="s">
        <v>476</v>
      </c>
      <c r="G107" s="146" t="s">
        <v>477</v>
      </c>
      <c r="H107" s="147" t="n">
        <v>1</v>
      </c>
      <c r="I107" s="148" t="n">
        <v>5</v>
      </c>
      <c r="J107" s="148" t="n">
        <v>8</v>
      </c>
      <c r="K107" s="148" t="n">
        <v>15</v>
      </c>
      <c r="L107" s="147" t="s">
        <v>478</v>
      </c>
      <c r="M107" s="117" t="n"/>
      <c r="N107" s="117" t="n"/>
      <c r="O107" s="117" t="n"/>
    </row>
    <row r="108" ht="14" customHeight="1">
      <c r="A108" s="145" t="s">
        <v>138</v>
      </c>
      <c r="B108" s="145" t="s">
        <v>139</v>
      </c>
      <c r="C108" s="145" t="n">
        <v>2</v>
      </c>
      <c r="D108" s="145" t="n">
        <v>2</v>
      </c>
      <c r="E108" s="145" t="s">
        <v>600</v>
      </c>
      <c r="F108" s="145" t="s">
        <v>480</v>
      </c>
      <c r="G108" s="164" t="s">
        <v>528</v>
      </c>
      <c r="H108" s="147" t="n">
        <v>0.3</v>
      </c>
      <c r="I108" s="148" t="n">
        <v>2.4</v>
      </c>
      <c r="J108" s="148" t="n">
        <v>4.5</v>
      </c>
      <c r="K108" s="148" t="n">
        <v>8.4</v>
      </c>
      <c r="L108" s="147" t="s">
        <v>529</v>
      </c>
      <c r="M108" s="117" t="n"/>
      <c r="N108" s="117" t="n"/>
      <c r="O108" s="117" t="n"/>
    </row>
    <row r="109" ht="14" customHeight="1">
      <c r="A109" s="145" t="s">
        <v>138</v>
      </c>
      <c r="B109" s="145" t="s">
        <v>139</v>
      </c>
      <c r="C109" s="145" t="n">
        <v>2</v>
      </c>
      <c r="D109" s="145" t="n">
        <v>3</v>
      </c>
      <c r="E109" s="145" t="s">
        <v>608</v>
      </c>
      <c r="F109" s="145" t="s">
        <v>484</v>
      </c>
      <c r="G109" s="149" t="s">
        <v>481</v>
      </c>
      <c r="H109" s="147" t="n">
        <v>0.6</v>
      </c>
      <c r="I109" s="148" t="n">
        <v>3</v>
      </c>
      <c r="J109" s="148" t="n">
        <v>6</v>
      </c>
      <c r="K109" s="148" t="n">
        <v>12</v>
      </c>
      <c r="L109" s="147" t="s">
        <v>531</v>
      </c>
      <c r="M109" s="117" t="n"/>
      <c r="N109" s="117" t="n"/>
      <c r="O109" s="117" t="n"/>
    </row>
    <row r="110" ht="14" customHeight="1">
      <c r="A110" s="145" t="s">
        <v>138</v>
      </c>
      <c r="B110" s="145" t="s">
        <v>139</v>
      </c>
      <c r="C110" s="145" t="n">
        <v>2</v>
      </c>
      <c r="D110" s="145" t="n">
        <v>4</v>
      </c>
      <c r="E110" s="145" t="s">
        <v>609</v>
      </c>
      <c r="F110" s="145" t="s">
        <v>487</v>
      </c>
      <c r="G110" s="149" t="s">
        <v>481</v>
      </c>
      <c r="H110" s="147" t="n">
        <v>0.6</v>
      </c>
      <c r="I110" s="148" t="n">
        <v>4.8</v>
      </c>
      <c r="J110" s="148" t="n">
        <v>10.8</v>
      </c>
      <c r="K110" s="148" t="n">
        <v>21</v>
      </c>
      <c r="L110" s="147" t="s">
        <v>533</v>
      </c>
      <c r="M110" s="117" t="n"/>
      <c r="N110" s="117" t="n"/>
      <c r="O110" s="117" t="n"/>
    </row>
    <row r="111" ht="14" customHeight="1">
      <c r="A111" s="145" t="s">
        <v>138</v>
      </c>
      <c r="B111" s="145" t="s">
        <v>139</v>
      </c>
      <c r="C111" s="145" t="n">
        <v>2</v>
      </c>
      <c r="D111" s="145" t="n">
        <v>5</v>
      </c>
      <c r="E111" s="145" t="s">
        <v>610</v>
      </c>
      <c r="F111" s="145" t="s">
        <v>490</v>
      </c>
      <c r="G111" s="149" t="s">
        <v>481</v>
      </c>
      <c r="H111" s="147" t="n">
        <v>0.6</v>
      </c>
      <c r="I111" s="148" t="n">
        <v>3.6</v>
      </c>
      <c r="J111" s="148" t="n">
        <v>7.2</v>
      </c>
      <c r="K111" s="148" t="n">
        <v>13.2</v>
      </c>
      <c r="L111" s="147" t="s">
        <v>565</v>
      </c>
      <c r="M111" s="117" t="n"/>
      <c r="N111" s="117" t="n"/>
      <c r="O111" s="117" t="n"/>
    </row>
    <row r="112" ht="14" customHeight="1">
      <c r="A112" s="145" t="s">
        <v>138</v>
      </c>
      <c r="B112" s="145" t="s">
        <v>139</v>
      </c>
      <c r="C112" s="145" t="n">
        <v>2</v>
      </c>
      <c r="D112" s="145" t="n">
        <v>6</v>
      </c>
      <c r="E112" s="145" t="s">
        <v>611</v>
      </c>
      <c r="F112" s="145" t="s">
        <v>493</v>
      </c>
      <c r="G112" s="149" t="s">
        <v>481</v>
      </c>
      <c r="H112" s="147" t="n">
        <v>0.6</v>
      </c>
      <c r="I112" s="148" t="n">
        <v>4.8</v>
      </c>
      <c r="J112" s="148" t="n">
        <v>9.6</v>
      </c>
      <c r="K112" s="148" t="n">
        <v>18</v>
      </c>
      <c r="L112" s="147" t="s">
        <v>576</v>
      </c>
      <c r="M112" s="118" t="n"/>
      <c r="N112" s="118" t="n"/>
      <c r="O112" s="118" t="n"/>
    </row>
    <row r="113" ht="14" customHeight="1">
      <c r="A113" s="145" t="s">
        <v>138</v>
      </c>
      <c r="B113" s="145" t="s">
        <v>139</v>
      </c>
      <c r="C113" s="145" t="n">
        <v>2</v>
      </c>
      <c r="D113" s="145" t="n">
        <v>7</v>
      </c>
      <c r="E113" s="145" t="s">
        <v>612</v>
      </c>
      <c r="F113" s="145" t="s">
        <v>496</v>
      </c>
      <c r="G113" s="146" t="s">
        <v>477</v>
      </c>
      <c r="H113" s="147" t="n">
        <v>1</v>
      </c>
      <c r="I113" s="148" t="n">
        <v>10</v>
      </c>
      <c r="J113" s="148" t="n">
        <v>20</v>
      </c>
      <c r="K113" s="148" t="n">
        <v>40</v>
      </c>
      <c r="L113" s="147" t="s">
        <v>497</v>
      </c>
      <c r="M113" s="103" t="n"/>
      <c r="N113" s="103" t="n"/>
      <c r="O113" s="103" t="n"/>
    </row>
    <row r="114" ht="14" customHeight="1">
      <c r="A114" s="145" t="s">
        <v>138</v>
      </c>
      <c r="B114" s="145" t="s">
        <v>139</v>
      </c>
      <c r="C114" s="145" t="n">
        <v>2</v>
      </c>
      <c r="D114" s="145" t="n">
        <v>8</v>
      </c>
      <c r="E114" s="145" t="s">
        <v>613</v>
      </c>
      <c r="F114" s="145" t="s">
        <v>499</v>
      </c>
      <c r="G114" s="146" t="s">
        <v>477</v>
      </c>
      <c r="H114" s="147" t="n">
        <v>1</v>
      </c>
      <c r="I114" s="148" t="n">
        <v>8</v>
      </c>
      <c r="J114" s="148" t="n">
        <v>15</v>
      </c>
      <c r="K114" s="148" t="n">
        <v>28</v>
      </c>
      <c r="L114" s="147" t="s">
        <v>500</v>
      </c>
      <c r="M114" s="103" t="n"/>
      <c r="N114" s="103" t="n"/>
      <c r="O114" s="103" t="n"/>
    </row>
    <row r="115" ht="14" customHeight="1">
      <c r="A115" s="145" t="s">
        <v>138</v>
      </c>
      <c r="B115" s="145" t="s">
        <v>139</v>
      </c>
      <c r="C115" s="145" t="n">
        <v>2</v>
      </c>
      <c r="D115" s="145" t="n">
        <v>9</v>
      </c>
      <c r="E115" s="145" t="s">
        <v>501</v>
      </c>
      <c r="F115" s="145" t="s">
        <v>502</v>
      </c>
      <c r="G115" s="146" t="s">
        <v>477</v>
      </c>
      <c r="H115" s="147" t="n">
        <v>1</v>
      </c>
      <c r="I115" s="148" t="n">
        <v>3</v>
      </c>
      <c r="J115" s="148" t="n">
        <v>6</v>
      </c>
      <c r="K115" s="148" t="n">
        <v>12</v>
      </c>
      <c r="L115" s="147" t="s">
        <v>503</v>
      </c>
      <c r="M115" s="103" t="n"/>
      <c r="N115" s="103" t="n"/>
      <c r="O115" s="103" t="n"/>
    </row>
    <row r="116" ht="14" customHeight="1">
      <c r="A116" s="152">
        <is>
          <t xml:space="preserve">  ↳ WF-CREATE-01 L2 total</t>
        </is>
      </c>
      <c r="B116" s="152" t="n"/>
      <c r="C116" s="152" t="n"/>
      <c r="D116" s="152" t="n"/>
      <c r="E116" s="152" t="n"/>
      <c r="F116" s="152" t="n"/>
      <c r="G116" s="152" t="n"/>
      <c r="H116" s="166" t="n"/>
      <c r="I116" s="154" t="n">
        <v>44.6</v>
      </c>
      <c r="J116" s="154" t="n">
        <v>87.09999999999999</v>
      </c>
      <c r="K116" s="154" t="n">
        <v>167.6</v>
      </c>
      <c r="L116" s="166" t="s">
        <v>588</v>
      </c>
      <c r="M116" s="103" t="n"/>
      <c r="N116" s="103" t="n"/>
      <c r="O116" s="103" t="n"/>
    </row>
    <row r="117" ht="14" customHeight="1">
      <c r="A117" s="160" t="s">
        <v>142</v>
      </c>
      <c r="B117" s="160" t="s">
        <v>143</v>
      </c>
      <c r="C117" s="160" t="n">
        <v>3</v>
      </c>
      <c r="D117" s="160" t="n">
        <v>1</v>
      </c>
      <c r="E117" s="160" t="s">
        <v>614</v>
      </c>
      <c r="F117" s="160" t="s">
        <v>476</v>
      </c>
      <c r="G117" s="146" t="s">
        <v>477</v>
      </c>
      <c r="H117" s="165" t="n">
        <v>1</v>
      </c>
      <c r="I117" s="162" t="n">
        <v>5</v>
      </c>
      <c r="J117" s="162" t="n">
        <v>8</v>
      </c>
      <c r="K117" s="162" t="n">
        <v>15</v>
      </c>
      <c r="L117" s="165" t="s">
        <v>478</v>
      </c>
      <c r="M117" s="118" t="n"/>
      <c r="N117" s="118" t="n"/>
      <c r="O117" s="118" t="n"/>
    </row>
    <row r="118" ht="14" customHeight="1">
      <c r="A118" s="160" t="s">
        <v>142</v>
      </c>
      <c r="B118" s="160" t="s">
        <v>143</v>
      </c>
      <c r="C118" s="160" t="n">
        <v>3</v>
      </c>
      <c r="D118" s="160" t="n">
        <v>2</v>
      </c>
      <c r="E118" s="160" t="s">
        <v>600</v>
      </c>
      <c r="F118" s="160" t="s">
        <v>480</v>
      </c>
      <c r="G118" s="164" t="s">
        <v>528</v>
      </c>
      <c r="H118" s="165" t="n">
        <v>0.3</v>
      </c>
      <c r="I118" s="162" t="n">
        <v>2.4</v>
      </c>
      <c r="J118" s="162" t="n">
        <v>4.5</v>
      </c>
      <c r="K118" s="162" t="n">
        <v>8.4</v>
      </c>
      <c r="L118" s="165" t="s">
        <v>529</v>
      </c>
      <c r="M118" s="103" t="n"/>
      <c r="N118" s="103" t="n"/>
      <c r="O118" s="103" t="n"/>
    </row>
    <row r="119" ht="14" customHeight="1">
      <c r="A119" s="160" t="s">
        <v>142</v>
      </c>
      <c r="B119" s="160" t="s">
        <v>143</v>
      </c>
      <c r="C119" s="160" t="n">
        <v>3</v>
      </c>
      <c r="D119" s="160" t="n">
        <v>3</v>
      </c>
      <c r="E119" s="160" t="s">
        <v>615</v>
      </c>
      <c r="F119" s="160" t="s">
        <v>484</v>
      </c>
      <c r="G119" s="149" t="s">
        <v>481</v>
      </c>
      <c r="H119" s="165" t="n">
        <v>0.6</v>
      </c>
      <c r="I119" s="162" t="n">
        <v>3</v>
      </c>
      <c r="J119" s="162" t="n">
        <v>6</v>
      </c>
      <c r="K119" s="162" t="n">
        <v>12</v>
      </c>
      <c r="L119" s="165" t="s">
        <v>531</v>
      </c>
      <c r="M119" s="103" t="n"/>
      <c r="N119" s="103" t="n"/>
      <c r="O119" s="103" t="n"/>
    </row>
    <row r="120" ht="14" customHeight="1">
      <c r="A120" s="160" t="s">
        <v>142</v>
      </c>
      <c r="B120" s="160" t="s">
        <v>143</v>
      </c>
      <c r="C120" s="160" t="n">
        <v>3</v>
      </c>
      <c r="D120" s="160" t="n">
        <v>4</v>
      </c>
      <c r="E120" s="160" t="s">
        <v>616</v>
      </c>
      <c r="F120" s="160" t="s">
        <v>487</v>
      </c>
      <c r="G120" s="149" t="s">
        <v>481</v>
      </c>
      <c r="H120" s="165" t="n">
        <v>0.6</v>
      </c>
      <c r="I120" s="162" t="n">
        <v>4.8</v>
      </c>
      <c r="J120" s="162" t="n">
        <v>10.8</v>
      </c>
      <c r="K120" s="162" t="n">
        <v>21</v>
      </c>
      <c r="L120" s="165" t="s">
        <v>533</v>
      </c>
      <c r="M120" s="103" t="n"/>
      <c r="N120" s="103" t="n"/>
      <c r="O120" s="103" t="n"/>
    </row>
    <row r="121" ht="14" customHeight="1">
      <c r="A121" s="160" t="s">
        <v>142</v>
      </c>
      <c r="B121" s="160" t="s">
        <v>143</v>
      </c>
      <c r="C121" s="160" t="n">
        <v>3</v>
      </c>
      <c r="D121" s="160" t="n">
        <v>5</v>
      </c>
      <c r="E121" s="160" t="s">
        <v>617</v>
      </c>
      <c r="F121" s="160" t="s">
        <v>490</v>
      </c>
      <c r="G121" s="149" t="s">
        <v>481</v>
      </c>
      <c r="H121" s="165" t="n">
        <v>0.6</v>
      </c>
      <c r="I121" s="162" t="n">
        <v>3.6</v>
      </c>
      <c r="J121" s="162" t="n">
        <v>7.2</v>
      </c>
      <c r="K121" s="162" t="n">
        <v>13.2</v>
      </c>
      <c r="L121" s="165" t="s">
        <v>565</v>
      </c>
      <c r="M121" s="103" t="n"/>
      <c r="N121" s="103" t="n"/>
      <c r="O121" s="103" t="n"/>
    </row>
    <row r="122" ht="14" customHeight="1">
      <c r="A122" s="160" t="s">
        <v>142</v>
      </c>
      <c r="B122" s="160" t="s">
        <v>143</v>
      </c>
      <c r="C122" s="160" t="n">
        <v>3</v>
      </c>
      <c r="D122" s="160" t="n">
        <v>6</v>
      </c>
      <c r="E122" s="160" t="s">
        <v>618</v>
      </c>
      <c r="F122" s="160" t="s">
        <v>493</v>
      </c>
      <c r="G122" s="146" t="s">
        <v>477</v>
      </c>
      <c r="H122" s="165" t="n">
        <v>1</v>
      </c>
      <c r="I122" s="162" t="n">
        <v>8</v>
      </c>
      <c r="J122" s="162" t="n">
        <v>16</v>
      </c>
      <c r="K122" s="162" t="n">
        <v>30</v>
      </c>
      <c r="L122" s="165" t="s">
        <v>494</v>
      </c>
      <c r="M122" s="118" t="n"/>
      <c r="N122" s="118" t="n"/>
      <c r="O122" s="118" t="n"/>
    </row>
    <row r="123" ht="14" customHeight="1">
      <c r="A123" s="160" t="s">
        <v>142</v>
      </c>
      <c r="B123" s="160" t="s">
        <v>143</v>
      </c>
      <c r="C123" s="160" t="n">
        <v>3</v>
      </c>
      <c r="D123" s="160" t="n">
        <v>7</v>
      </c>
      <c r="E123" s="160" t="s">
        <v>619</v>
      </c>
      <c r="F123" s="160" t="s">
        <v>496</v>
      </c>
      <c r="G123" s="146" t="s">
        <v>477</v>
      </c>
      <c r="H123" s="165" t="n">
        <v>1</v>
      </c>
      <c r="I123" s="162" t="n">
        <v>10</v>
      </c>
      <c r="J123" s="162" t="n">
        <v>20</v>
      </c>
      <c r="K123" s="162" t="n">
        <v>40</v>
      </c>
      <c r="L123" s="165" t="s">
        <v>497</v>
      </c>
      <c r="M123" s="113" t="n"/>
      <c r="N123" s="113" t="n"/>
      <c r="O123" s="113" t="n"/>
    </row>
    <row r="124" ht="14" customHeight="1">
      <c r="A124" s="160" t="s">
        <v>142</v>
      </c>
      <c r="B124" s="160" t="s">
        <v>143</v>
      </c>
      <c r="C124" s="160" t="n">
        <v>3</v>
      </c>
      <c r="D124" s="160" t="n">
        <v>8</v>
      </c>
      <c r="E124" s="160" t="s">
        <v>568</v>
      </c>
      <c r="F124" s="160" t="s">
        <v>499</v>
      </c>
      <c r="G124" s="146" t="s">
        <v>477</v>
      </c>
      <c r="H124" s="165" t="n">
        <v>1</v>
      </c>
      <c r="I124" s="162" t="n">
        <v>8</v>
      </c>
      <c r="J124" s="162" t="n">
        <v>15</v>
      </c>
      <c r="K124" s="162" t="n">
        <v>28</v>
      </c>
      <c r="L124" s="165" t="s">
        <v>500</v>
      </c>
      <c r="M124" s="113" t="n"/>
      <c r="N124" s="113" t="n"/>
      <c r="O124" s="113" t="n"/>
    </row>
    <row r="125" ht="14" customHeight="1">
      <c r="A125" s="160" t="s">
        <v>142</v>
      </c>
      <c r="B125" s="160" t="s">
        <v>143</v>
      </c>
      <c r="C125" s="160" t="n">
        <v>3</v>
      </c>
      <c r="D125" s="160" t="n">
        <v>9</v>
      </c>
      <c r="E125" s="160" t="s">
        <v>501</v>
      </c>
      <c r="F125" s="160" t="s">
        <v>502</v>
      </c>
      <c r="G125" s="146" t="s">
        <v>477</v>
      </c>
      <c r="H125" s="165" t="n">
        <v>1</v>
      </c>
      <c r="I125" s="162" t="n">
        <v>3</v>
      </c>
      <c r="J125" s="162" t="n">
        <v>6</v>
      </c>
      <c r="K125" s="162" t="n">
        <v>12</v>
      </c>
      <c r="L125" s="165" t="s">
        <v>503</v>
      </c>
      <c r="M125" s="118" t="n"/>
      <c r="N125" s="118" t="n"/>
      <c r="O125" s="118" t="n"/>
    </row>
    <row r="126" ht="14" customHeight="1">
      <c r="A126" s="152">
        <is>
          <t xml:space="preserve">  ↳ WF-VIEW-01 L2 total</t>
        </is>
      </c>
      <c r="B126" s="152" t="n"/>
      <c r="C126" s="152" t="n"/>
      <c r="D126" s="152" t="n"/>
      <c r="E126" s="152" t="n"/>
      <c r="F126" s="152" t="n"/>
      <c r="G126" s="152" t="n"/>
      <c r="H126" s="166" t="n"/>
      <c r="I126" s="154" t="n">
        <v>47.8</v>
      </c>
      <c r="J126" s="154" t="n">
        <v>93.5</v>
      </c>
      <c r="K126" s="154" t="n">
        <v>179.6</v>
      </c>
      <c r="L126" s="166" t="s">
        <v>620</v>
      </c>
      <c r="M126" s="113" t="n"/>
      <c r="N126" s="113" t="n"/>
      <c r="O126" s="113" t="n"/>
    </row>
    <row r="127" ht="14" customHeight="1">
      <c r="A127" s="156" t="s">
        <v>146</v>
      </c>
      <c r="B127" s="156" t="s">
        <v>147</v>
      </c>
      <c r="C127" s="156" t="n">
        <v>3</v>
      </c>
      <c r="D127" s="156" t="n">
        <v>1</v>
      </c>
      <c r="E127" s="156" t="s">
        <v>621</v>
      </c>
      <c r="F127" s="156" t="s">
        <v>476</v>
      </c>
      <c r="G127" s="146" t="s">
        <v>477</v>
      </c>
      <c r="H127" s="169" t="n">
        <v>1</v>
      </c>
      <c r="I127" s="158" t="n">
        <v>5</v>
      </c>
      <c r="J127" s="158" t="n">
        <v>8</v>
      </c>
      <c r="K127" s="158" t="n">
        <v>15</v>
      </c>
      <c r="L127" s="169" t="s">
        <v>478</v>
      </c>
      <c r="M127" s="113" t="n"/>
      <c r="N127" s="113" t="n"/>
      <c r="O127" s="113" t="n"/>
    </row>
    <row r="128" ht="14" customHeight="1">
      <c r="A128" s="156" t="s">
        <v>146</v>
      </c>
      <c r="B128" s="156" t="s">
        <v>147</v>
      </c>
      <c r="C128" s="156" t="n">
        <v>3</v>
      </c>
      <c r="D128" s="156" t="n">
        <v>2</v>
      </c>
      <c r="E128" s="156" t="s">
        <v>600</v>
      </c>
      <c r="F128" s="156" t="s">
        <v>480</v>
      </c>
      <c r="G128" s="164" t="s">
        <v>528</v>
      </c>
      <c r="H128" s="169" t="n">
        <v>0.3</v>
      </c>
      <c r="I128" s="158" t="n">
        <v>2.4</v>
      </c>
      <c r="J128" s="158" t="n">
        <v>4.5</v>
      </c>
      <c r="K128" s="158" t="n">
        <v>8.4</v>
      </c>
      <c r="L128" s="169" t="s">
        <v>529</v>
      </c>
      <c r="M128" s="118" t="n"/>
      <c r="N128" s="118" t="n"/>
      <c r="O128" s="118" t="n"/>
    </row>
    <row r="129" ht="14" customHeight="1">
      <c r="A129" s="156" t="s">
        <v>146</v>
      </c>
      <c r="B129" s="156" t="s">
        <v>147</v>
      </c>
      <c r="C129" s="156" t="n">
        <v>3</v>
      </c>
      <c r="D129" s="156" t="n">
        <v>3</v>
      </c>
      <c r="E129" s="156" t="s">
        <v>622</v>
      </c>
      <c r="F129" s="156" t="s">
        <v>484</v>
      </c>
      <c r="G129" s="164" t="s">
        <v>528</v>
      </c>
      <c r="H129" s="169" t="n">
        <v>0.3</v>
      </c>
      <c r="I129" s="158" t="n">
        <v>1.5</v>
      </c>
      <c r="J129" s="158" t="n">
        <v>3</v>
      </c>
      <c r="K129" s="158" t="n">
        <v>6</v>
      </c>
      <c r="L129" s="169" t="s">
        <v>545</v>
      </c>
      <c r="M129" s="103" t="n"/>
      <c r="N129" s="103" t="n"/>
      <c r="O129" s="103" t="n"/>
    </row>
    <row r="130" ht="14" customHeight="1">
      <c r="A130" s="156" t="s">
        <v>146</v>
      </c>
      <c r="B130" s="156" t="s">
        <v>147</v>
      </c>
      <c r="C130" s="156" t="n">
        <v>3</v>
      </c>
      <c r="D130" s="156" t="n">
        <v>4</v>
      </c>
      <c r="E130" s="156" t="s">
        <v>623</v>
      </c>
      <c r="F130" s="156" t="s">
        <v>487</v>
      </c>
      <c r="G130" s="149" t="s">
        <v>481</v>
      </c>
      <c r="H130" s="169" t="n">
        <v>0.6</v>
      </c>
      <c r="I130" s="158" t="n">
        <v>4.8</v>
      </c>
      <c r="J130" s="158" t="n">
        <v>10.8</v>
      </c>
      <c r="K130" s="158" t="n">
        <v>21</v>
      </c>
      <c r="L130" s="169" t="s">
        <v>533</v>
      </c>
      <c r="M130" s="103" t="n"/>
      <c r="N130" s="103" t="n"/>
      <c r="O130" s="103" t="n"/>
    </row>
    <row r="131" ht="14" customHeight="1">
      <c r="A131" s="156" t="s">
        <v>146</v>
      </c>
      <c r="B131" s="156" t="s">
        <v>147</v>
      </c>
      <c r="C131" s="156" t="n">
        <v>3</v>
      </c>
      <c r="D131" s="156" t="n">
        <v>5</v>
      </c>
      <c r="E131" s="156" t="s">
        <v>624</v>
      </c>
      <c r="F131" s="156" t="s">
        <v>490</v>
      </c>
      <c r="G131" s="149" t="s">
        <v>481</v>
      </c>
      <c r="H131" s="169" t="n">
        <v>0.6</v>
      </c>
      <c r="I131" s="158" t="n">
        <v>3.6</v>
      </c>
      <c r="J131" s="158" t="n">
        <v>7.2</v>
      </c>
      <c r="K131" s="158" t="n">
        <v>13.2</v>
      </c>
      <c r="L131" s="169" t="s">
        <v>565</v>
      </c>
      <c r="M131" s="103" t="n"/>
      <c r="N131" s="103" t="n"/>
      <c r="O131" s="103" t="n"/>
    </row>
    <row r="132" ht="14" customHeight="1">
      <c r="A132" s="156" t="s">
        <v>146</v>
      </c>
      <c r="B132" s="156" t="s">
        <v>147</v>
      </c>
      <c r="C132" s="156" t="n">
        <v>3</v>
      </c>
      <c r="D132" s="156" t="n">
        <v>6</v>
      </c>
      <c r="E132" s="156" t="s">
        <v>625</v>
      </c>
      <c r="F132" s="156" t="s">
        <v>493</v>
      </c>
      <c r="G132" s="149" t="s">
        <v>481</v>
      </c>
      <c r="H132" s="169" t="n">
        <v>0.6</v>
      </c>
      <c r="I132" s="158" t="n">
        <v>4.8</v>
      </c>
      <c r="J132" s="158" t="n">
        <v>9.6</v>
      </c>
      <c r="K132" s="158" t="n">
        <v>18</v>
      </c>
      <c r="L132" s="169" t="s">
        <v>576</v>
      </c>
      <c r="M132" s="103" t="n"/>
      <c r="N132" s="103" t="n"/>
      <c r="O132" s="103" t="n"/>
    </row>
    <row r="133" ht="14" customHeight="1">
      <c r="A133" s="156" t="s">
        <v>146</v>
      </c>
      <c r="B133" s="156" t="s">
        <v>147</v>
      </c>
      <c r="C133" s="156" t="n">
        <v>3</v>
      </c>
      <c r="D133" s="156" t="n">
        <v>7</v>
      </c>
      <c r="E133" s="156" t="s">
        <v>626</v>
      </c>
      <c r="F133" s="156" t="s">
        <v>496</v>
      </c>
      <c r="G133" s="146" t="s">
        <v>477</v>
      </c>
      <c r="H133" s="169" t="n">
        <v>1</v>
      </c>
      <c r="I133" s="158" t="n">
        <v>10</v>
      </c>
      <c r="J133" s="158" t="n">
        <v>20</v>
      </c>
      <c r="K133" s="158" t="n">
        <v>40</v>
      </c>
      <c r="L133" s="169" t="s">
        <v>497</v>
      </c>
      <c r="M133" s="118" t="n"/>
      <c r="N133" s="118" t="n"/>
      <c r="O133" s="118" t="n"/>
    </row>
    <row r="134" ht="14" customHeight="1">
      <c r="A134" s="156" t="s">
        <v>146</v>
      </c>
      <c r="B134" s="156" t="s">
        <v>147</v>
      </c>
      <c r="C134" s="156" t="n">
        <v>3</v>
      </c>
      <c r="D134" s="156" t="n">
        <v>8</v>
      </c>
      <c r="E134" s="156" t="s">
        <v>578</v>
      </c>
      <c r="F134" s="156" t="s">
        <v>499</v>
      </c>
      <c r="G134" s="146" t="s">
        <v>477</v>
      </c>
      <c r="H134" s="169" t="n">
        <v>1</v>
      </c>
      <c r="I134" s="158" t="n">
        <v>8</v>
      </c>
      <c r="J134" s="158" t="n">
        <v>15</v>
      </c>
      <c r="K134" s="158" t="n">
        <v>28</v>
      </c>
      <c r="L134" s="169" t="s">
        <v>500</v>
      </c>
      <c r="M134" s="113" t="n"/>
      <c r="N134" s="113" t="n"/>
      <c r="O134" s="113" t="n"/>
    </row>
    <row r="135" ht="14" customHeight="1">
      <c r="A135" s="156" t="s">
        <v>146</v>
      </c>
      <c r="B135" s="156" t="s">
        <v>147</v>
      </c>
      <c r="C135" s="156" t="n">
        <v>3</v>
      </c>
      <c r="D135" s="156" t="n">
        <v>9</v>
      </c>
      <c r="E135" s="156" t="s">
        <v>501</v>
      </c>
      <c r="F135" s="156" t="s">
        <v>502</v>
      </c>
      <c r="G135" s="146" t="s">
        <v>477</v>
      </c>
      <c r="H135" s="169" t="n">
        <v>1</v>
      </c>
      <c r="I135" s="158" t="n">
        <v>3</v>
      </c>
      <c r="J135" s="158" t="n">
        <v>6</v>
      </c>
      <c r="K135" s="158" t="n">
        <v>12</v>
      </c>
      <c r="L135" s="169" t="s">
        <v>503</v>
      </c>
      <c r="M135" s="113" t="n"/>
      <c r="N135" s="113" t="n"/>
      <c r="O135" s="113" t="n"/>
    </row>
    <row r="136" ht="14" customHeight="1">
      <c r="A136" s="167">
        <is>
          <t xml:space="preserve">  ↳ WF-EDIT-01 L2 total</t>
        </is>
      </c>
      <c r="B136" s="167" t="n"/>
      <c r="C136" s="167" t="n"/>
      <c r="D136" s="167" t="n"/>
      <c r="E136" s="167" t="n"/>
      <c r="F136" s="167" t="n"/>
      <c r="G136" s="167" t="n"/>
      <c r="H136" s="167" t="n"/>
      <c r="I136" s="168" t="n">
        <v>43.1</v>
      </c>
      <c r="J136" s="168" t="n">
        <v>84.09999999999999</v>
      </c>
      <c r="K136" s="168" t="n">
        <v>161.6</v>
      </c>
      <c r="L136" s="167" t="s">
        <v>627</v>
      </c>
      <c r="M136" s="118" t="n"/>
      <c r="N136" s="118" t="n"/>
      <c r="O136" s="118" t="n"/>
    </row>
    <row r="137" ht="14" customHeight="1">
      <c r="A137" s="156" t="s">
        <v>150</v>
      </c>
      <c r="B137" s="156" t="s">
        <v>151</v>
      </c>
      <c r="C137" s="156" t="n">
        <v>3</v>
      </c>
      <c r="D137" s="156" t="n">
        <v>1</v>
      </c>
      <c r="E137" s="156" t="s">
        <v>628</v>
      </c>
      <c r="F137" s="156" t="s">
        <v>476</v>
      </c>
      <c r="G137" s="146" t="s">
        <v>477</v>
      </c>
      <c r="H137" s="169" t="n">
        <v>1</v>
      </c>
      <c r="I137" s="158" t="n">
        <v>5</v>
      </c>
      <c r="J137" s="158" t="n">
        <v>8</v>
      </c>
      <c r="K137" s="158" t="n">
        <v>15</v>
      </c>
      <c r="L137" s="169" t="s">
        <v>478</v>
      </c>
      <c r="M137" s="103" t="n"/>
      <c r="N137" s="103" t="n"/>
      <c r="O137" s="103" t="n"/>
    </row>
    <row r="138" ht="14" customHeight="1">
      <c r="A138" s="156" t="s">
        <v>150</v>
      </c>
      <c r="B138" s="156" t="s">
        <v>151</v>
      </c>
      <c r="C138" s="156" t="n">
        <v>3</v>
      </c>
      <c r="D138" s="156" t="n">
        <v>2</v>
      </c>
      <c r="E138" s="156" t="s">
        <v>600</v>
      </c>
      <c r="F138" s="156" t="s">
        <v>480</v>
      </c>
      <c r="G138" s="164" t="s">
        <v>528</v>
      </c>
      <c r="H138" s="169" t="n">
        <v>0.3</v>
      </c>
      <c r="I138" s="158" t="n">
        <v>2.4</v>
      </c>
      <c r="J138" s="158" t="n">
        <v>4.5</v>
      </c>
      <c r="K138" s="158" t="n">
        <v>8.4</v>
      </c>
      <c r="L138" s="169" t="s">
        <v>529</v>
      </c>
      <c r="M138" s="103" t="n"/>
      <c r="N138" s="103" t="n"/>
      <c r="O138" s="103" t="n"/>
    </row>
    <row r="139" ht="14" customHeight="1">
      <c r="A139" s="156" t="s">
        <v>150</v>
      </c>
      <c r="B139" s="156" t="s">
        <v>151</v>
      </c>
      <c r="C139" s="156" t="n">
        <v>3</v>
      </c>
      <c r="D139" s="156" t="n">
        <v>3</v>
      </c>
      <c r="E139" s="156" t="s">
        <v>629</v>
      </c>
      <c r="F139" s="156" t="s">
        <v>484</v>
      </c>
      <c r="G139" s="164" t="s">
        <v>528</v>
      </c>
      <c r="H139" s="169" t="n">
        <v>0.3</v>
      </c>
      <c r="I139" s="158" t="n">
        <v>1.5</v>
      </c>
      <c r="J139" s="158" t="n">
        <v>3</v>
      </c>
      <c r="K139" s="158" t="n">
        <v>6</v>
      </c>
      <c r="L139" s="169" t="s">
        <v>545</v>
      </c>
      <c r="M139" s="103" t="n"/>
      <c r="N139" s="103" t="n"/>
      <c r="O139" s="103" t="n"/>
    </row>
    <row r="140" ht="14" customHeight="1">
      <c r="A140" s="156" t="s">
        <v>150</v>
      </c>
      <c r="B140" s="156" t="s">
        <v>151</v>
      </c>
      <c r="C140" s="156" t="n">
        <v>3</v>
      </c>
      <c r="D140" s="156" t="n">
        <v>4</v>
      </c>
      <c r="E140" s="156" t="s">
        <v>630</v>
      </c>
      <c r="F140" s="156" t="s">
        <v>487</v>
      </c>
      <c r="G140" s="149" t="s">
        <v>481</v>
      </c>
      <c r="H140" s="169" t="n">
        <v>0.6</v>
      </c>
      <c r="I140" s="158" t="n">
        <v>4.8</v>
      </c>
      <c r="J140" s="158" t="n">
        <v>10.8</v>
      </c>
      <c r="K140" s="158" t="n">
        <v>21</v>
      </c>
      <c r="L140" s="169" t="s">
        <v>533</v>
      </c>
      <c r="M140" s="103" t="n"/>
      <c r="N140" s="103" t="n"/>
      <c r="O140" s="103" t="n"/>
    </row>
    <row r="141" ht="14" customHeight="1">
      <c r="A141" s="156" t="s">
        <v>150</v>
      </c>
      <c r="B141" s="156" t="s">
        <v>151</v>
      </c>
      <c r="C141" s="156" t="n">
        <v>3</v>
      </c>
      <c r="D141" s="156" t="n">
        <v>5</v>
      </c>
      <c r="E141" s="156" t="s">
        <v>631</v>
      </c>
      <c r="F141" s="156" t="s">
        <v>490</v>
      </c>
      <c r="G141" s="164" t="s">
        <v>528</v>
      </c>
      <c r="H141" s="169" t="n">
        <v>0.3</v>
      </c>
      <c r="I141" s="158" t="n">
        <v>1.8</v>
      </c>
      <c r="J141" s="158" t="n">
        <v>3.6</v>
      </c>
      <c r="K141" s="158" t="n">
        <v>6.6</v>
      </c>
      <c r="L141" s="169" t="s">
        <v>549</v>
      </c>
      <c r="M141" s="118" t="n"/>
      <c r="N141" s="118" t="n"/>
      <c r="O141" s="118" t="n"/>
    </row>
    <row r="142" ht="14" customHeight="1">
      <c r="A142" s="156" t="s">
        <v>150</v>
      </c>
      <c r="B142" s="156" t="s">
        <v>151</v>
      </c>
      <c r="C142" s="156" t="n">
        <v>3</v>
      </c>
      <c r="D142" s="156" t="n">
        <v>6</v>
      </c>
      <c r="E142" s="156" t="s">
        <v>632</v>
      </c>
      <c r="F142" s="156" t="s">
        <v>493</v>
      </c>
      <c r="G142" s="164" t="s">
        <v>528</v>
      </c>
      <c r="H142" s="169" t="n">
        <v>0.3</v>
      </c>
      <c r="I142" s="158" t="n">
        <v>2.4</v>
      </c>
      <c r="J142" s="158" t="n">
        <v>4.8</v>
      </c>
      <c r="K142" s="158" t="n">
        <v>9</v>
      </c>
      <c r="L142" s="169" t="s">
        <v>551</v>
      </c>
      <c r="M142" s="113" t="n"/>
      <c r="N142" s="113" t="n"/>
      <c r="O142" s="113" t="n"/>
    </row>
    <row r="143" ht="14" customHeight="1">
      <c r="A143" s="156" t="s">
        <v>150</v>
      </c>
      <c r="B143" s="156" t="s">
        <v>151</v>
      </c>
      <c r="C143" s="156" t="n">
        <v>3</v>
      </c>
      <c r="D143" s="156" t="n">
        <v>7</v>
      </c>
      <c r="E143" s="156" t="s">
        <v>633</v>
      </c>
      <c r="F143" s="156" t="s">
        <v>496</v>
      </c>
      <c r="G143" s="146" t="s">
        <v>477</v>
      </c>
      <c r="H143" s="169" t="n">
        <v>1</v>
      </c>
      <c r="I143" s="158" t="n">
        <v>10</v>
      </c>
      <c r="J143" s="158" t="n">
        <v>20</v>
      </c>
      <c r="K143" s="158" t="n">
        <v>40</v>
      </c>
      <c r="L143" s="169" t="s">
        <v>497</v>
      </c>
      <c r="M143" s="113" t="n"/>
      <c r="N143" s="113" t="n"/>
      <c r="O143" s="113" t="n"/>
    </row>
    <row r="144" ht="14" customHeight="1">
      <c r="A144" s="156" t="s">
        <v>150</v>
      </c>
      <c r="B144" s="156" t="s">
        <v>151</v>
      </c>
      <c r="C144" s="156" t="n">
        <v>3</v>
      </c>
      <c r="D144" s="156" t="n">
        <v>8</v>
      </c>
      <c r="E144" s="156" t="s">
        <v>587</v>
      </c>
      <c r="F144" s="156" t="s">
        <v>499</v>
      </c>
      <c r="G144" s="146" t="s">
        <v>477</v>
      </c>
      <c r="H144" s="169" t="n">
        <v>1</v>
      </c>
      <c r="I144" s="158" t="n">
        <v>8</v>
      </c>
      <c r="J144" s="158" t="n">
        <v>15</v>
      </c>
      <c r="K144" s="158" t="n">
        <v>28</v>
      </c>
      <c r="L144" s="169" t="s">
        <v>500</v>
      </c>
      <c r="M144" s="118" t="n"/>
      <c r="N144" s="118" t="n"/>
      <c r="O144" s="118" t="n"/>
    </row>
    <row r="145" ht="14" customHeight="1">
      <c r="A145" s="156" t="s">
        <v>150</v>
      </c>
      <c r="B145" s="156" t="s">
        <v>151</v>
      </c>
      <c r="C145" s="156" t="n">
        <v>3</v>
      </c>
      <c r="D145" s="156" t="n">
        <v>9</v>
      </c>
      <c r="E145" s="156" t="s">
        <v>501</v>
      </c>
      <c r="F145" s="156" t="s">
        <v>502</v>
      </c>
      <c r="G145" s="146" t="s">
        <v>477</v>
      </c>
      <c r="H145" s="169" t="n">
        <v>1</v>
      </c>
      <c r="I145" s="158" t="n">
        <v>3</v>
      </c>
      <c r="J145" s="158" t="n">
        <v>6</v>
      </c>
      <c r="K145" s="158" t="n">
        <v>12</v>
      </c>
      <c r="L145" s="169" t="s">
        <v>503</v>
      </c>
      <c r="M145" s="113" t="n"/>
      <c r="N145" s="113" t="n"/>
      <c r="O145" s="113" t="n"/>
    </row>
    <row r="146" ht="14" customHeight="1">
      <c r="A146" s="152">
        <is>
          <t xml:space="preserve">  ↳ WF-DELETE-01 L2 total</t>
        </is>
      </c>
      <c r="B146" s="152" t="n"/>
      <c r="C146" s="152" t="n"/>
      <c r="D146" s="152" t="n"/>
      <c r="E146" s="152" t="n"/>
      <c r="F146" s="152" t="n"/>
      <c r="G146" s="152" t="n"/>
      <c r="H146" s="166" t="n"/>
      <c r="I146" s="154" t="n">
        <v>38.9</v>
      </c>
      <c r="J146" s="154" t="n">
        <v>75.7</v>
      </c>
      <c r="K146" s="154" t="n">
        <v>146</v>
      </c>
      <c r="L146" s="166" t="s">
        <v>634</v>
      </c>
      <c r="M146" s="113" t="n"/>
      <c r="N146" s="113" t="n"/>
      <c r="O146" s="113" t="n"/>
    </row>
    <row r="147" ht="14" customHeight="1">
      <c r="A147" s="160" t="s">
        <v>154</v>
      </c>
      <c r="B147" s="160" t="s">
        <v>155</v>
      </c>
      <c r="C147" s="160" t="n">
        <v>3</v>
      </c>
      <c r="D147" s="160" t="n">
        <v>1</v>
      </c>
      <c r="E147" s="160" t="s">
        <v>635</v>
      </c>
      <c r="F147" s="160" t="s">
        <v>476</v>
      </c>
      <c r="G147" s="146" t="s">
        <v>477</v>
      </c>
      <c r="H147" s="165" t="n">
        <v>1</v>
      </c>
      <c r="I147" s="162" t="n">
        <v>5</v>
      </c>
      <c r="J147" s="162" t="n">
        <v>8</v>
      </c>
      <c r="K147" s="162" t="n">
        <v>15</v>
      </c>
      <c r="L147" s="165" t="s">
        <v>478</v>
      </c>
      <c r="M147" s="118" t="n"/>
      <c r="N147" s="118" t="n"/>
      <c r="O147" s="118" t="n"/>
    </row>
    <row r="148" ht="14" customHeight="1">
      <c r="A148" s="160" t="s">
        <v>154</v>
      </c>
      <c r="B148" s="160" t="s">
        <v>155</v>
      </c>
      <c r="C148" s="160" t="n">
        <v>3</v>
      </c>
      <c r="D148" s="160" t="n">
        <v>2</v>
      </c>
      <c r="E148" s="160" t="s">
        <v>636</v>
      </c>
      <c r="F148" s="160" t="s">
        <v>480</v>
      </c>
      <c r="G148" s="164" t="s">
        <v>528</v>
      </c>
      <c r="H148" s="165" t="n">
        <v>0.3</v>
      </c>
      <c r="I148" s="162" t="n">
        <v>2.4</v>
      </c>
      <c r="J148" s="162" t="n">
        <v>4.5</v>
      </c>
      <c r="K148" s="162" t="n">
        <v>8.4</v>
      </c>
      <c r="L148" s="165" t="s">
        <v>529</v>
      </c>
      <c r="M148" s="117" t="n"/>
      <c r="N148" s="117" t="n"/>
      <c r="O148" s="117" t="n"/>
    </row>
    <row r="149" ht="14" customHeight="1">
      <c r="A149" s="160" t="s">
        <v>154</v>
      </c>
      <c r="B149" s="160" t="s">
        <v>155</v>
      </c>
      <c r="C149" s="160" t="n">
        <v>3</v>
      </c>
      <c r="D149" s="160" t="n">
        <v>3</v>
      </c>
      <c r="E149" s="160" t="s">
        <v>637</v>
      </c>
      <c r="F149" s="160" t="s">
        <v>487</v>
      </c>
      <c r="G149" s="146" t="s">
        <v>477</v>
      </c>
      <c r="H149" s="165" t="n">
        <v>1</v>
      </c>
      <c r="I149" s="162" t="n">
        <v>8</v>
      </c>
      <c r="J149" s="162" t="n">
        <v>18</v>
      </c>
      <c r="K149" s="162" t="n">
        <v>35</v>
      </c>
      <c r="L149" s="165" t="s">
        <v>488</v>
      </c>
      <c r="M149" s="117" t="n"/>
      <c r="N149" s="117" t="n"/>
      <c r="O149" s="117" t="n"/>
    </row>
    <row r="150" ht="14" customHeight="1">
      <c r="A150" s="160" t="s">
        <v>154</v>
      </c>
      <c r="B150" s="160" t="s">
        <v>155</v>
      </c>
      <c r="C150" s="160" t="n">
        <v>3</v>
      </c>
      <c r="D150" s="160" t="n">
        <v>4</v>
      </c>
      <c r="E150" s="160" t="s">
        <v>638</v>
      </c>
      <c r="F150" s="160" t="s">
        <v>487</v>
      </c>
      <c r="G150" s="146" t="s">
        <v>477</v>
      </c>
      <c r="H150" s="165" t="n">
        <v>1</v>
      </c>
      <c r="I150" s="162" t="n">
        <v>8</v>
      </c>
      <c r="J150" s="162" t="n">
        <v>18</v>
      </c>
      <c r="K150" s="162" t="n">
        <v>35</v>
      </c>
      <c r="L150" s="165" t="s">
        <v>488</v>
      </c>
      <c r="M150" s="117" t="n"/>
      <c r="N150" s="117" t="n"/>
      <c r="O150" s="117" t="n"/>
    </row>
    <row r="151" ht="14" customHeight="1">
      <c r="A151" s="160" t="s">
        <v>154</v>
      </c>
      <c r="B151" s="160" t="s">
        <v>155</v>
      </c>
      <c r="C151" s="160" t="n">
        <v>3</v>
      </c>
      <c r="D151" s="160" t="n">
        <v>5</v>
      </c>
      <c r="E151" s="160" t="s">
        <v>639</v>
      </c>
      <c r="F151" s="160" t="s">
        <v>490</v>
      </c>
      <c r="G151" s="146" t="s">
        <v>477</v>
      </c>
      <c r="H151" s="165" t="n">
        <v>1</v>
      </c>
      <c r="I151" s="162" t="n">
        <v>6</v>
      </c>
      <c r="J151" s="162" t="n">
        <v>12</v>
      </c>
      <c r="K151" s="162" t="n">
        <v>22</v>
      </c>
      <c r="L151" s="165" t="s">
        <v>491</v>
      </c>
      <c r="M151" s="117" t="n"/>
      <c r="N151" s="117" t="n"/>
      <c r="O151" s="117" t="n"/>
    </row>
    <row r="152" ht="14" customHeight="1">
      <c r="A152" s="160" t="s">
        <v>154</v>
      </c>
      <c r="B152" s="160" t="s">
        <v>155</v>
      </c>
      <c r="C152" s="160" t="n">
        <v>3</v>
      </c>
      <c r="D152" s="160" t="n">
        <v>6</v>
      </c>
      <c r="E152" s="160" t="s">
        <v>640</v>
      </c>
      <c r="F152" s="160" t="s">
        <v>493</v>
      </c>
      <c r="G152" s="146" t="s">
        <v>477</v>
      </c>
      <c r="H152" s="165" t="n">
        <v>1</v>
      </c>
      <c r="I152" s="162" t="n">
        <v>8</v>
      </c>
      <c r="J152" s="162" t="n">
        <v>16</v>
      </c>
      <c r="K152" s="162" t="n">
        <v>30</v>
      </c>
      <c r="L152" s="165" t="s">
        <v>494</v>
      </c>
      <c r="M152" s="117" t="n"/>
      <c r="N152" s="117" t="n"/>
      <c r="O152" s="117" t="n"/>
    </row>
    <row r="153" ht="14" customHeight="1">
      <c r="A153" s="160" t="s">
        <v>154</v>
      </c>
      <c r="B153" s="160" t="s">
        <v>155</v>
      </c>
      <c r="C153" s="160" t="n">
        <v>3</v>
      </c>
      <c r="D153" s="160" t="n">
        <v>7</v>
      </c>
      <c r="E153" s="160" t="s">
        <v>641</v>
      </c>
      <c r="F153" s="160" t="s">
        <v>496</v>
      </c>
      <c r="G153" s="146" t="s">
        <v>477</v>
      </c>
      <c r="H153" s="165" t="n">
        <v>1</v>
      </c>
      <c r="I153" s="162" t="n">
        <v>10</v>
      </c>
      <c r="J153" s="162" t="n">
        <v>20</v>
      </c>
      <c r="K153" s="162" t="n">
        <v>40</v>
      </c>
      <c r="L153" s="165" t="s">
        <v>497</v>
      </c>
      <c r="M153" s="117" t="n"/>
      <c r="N153" s="117" t="n"/>
      <c r="O153" s="117" t="n"/>
    </row>
    <row r="154" ht="14" customHeight="1">
      <c r="A154" s="160" t="s">
        <v>154</v>
      </c>
      <c r="B154" s="160" t="s">
        <v>155</v>
      </c>
      <c r="C154" s="160" t="n">
        <v>3</v>
      </c>
      <c r="D154" s="160" t="n">
        <v>8</v>
      </c>
      <c r="E154" s="160" t="s">
        <v>642</v>
      </c>
      <c r="F154" s="160" t="s">
        <v>499</v>
      </c>
      <c r="G154" s="146" t="s">
        <v>477</v>
      </c>
      <c r="H154" s="165" t="n">
        <v>1</v>
      </c>
      <c r="I154" s="162" t="n">
        <v>8</v>
      </c>
      <c r="J154" s="162" t="n">
        <v>15</v>
      </c>
      <c r="K154" s="162" t="n">
        <v>28</v>
      </c>
      <c r="L154" s="165" t="s">
        <v>500</v>
      </c>
      <c r="M154" s="117" t="n"/>
      <c r="N154" s="117" t="n"/>
      <c r="O154" s="117" t="n"/>
    </row>
    <row r="155" ht="14" customHeight="1">
      <c r="A155" s="160" t="s">
        <v>154</v>
      </c>
      <c r="B155" s="160" t="s">
        <v>155</v>
      </c>
      <c r="C155" s="160" t="n">
        <v>3</v>
      </c>
      <c r="D155" s="160" t="n">
        <v>9</v>
      </c>
      <c r="E155" s="160" t="s">
        <v>501</v>
      </c>
      <c r="F155" s="160" t="s">
        <v>502</v>
      </c>
      <c r="G155" s="146" t="s">
        <v>477</v>
      </c>
      <c r="H155" s="165" t="n">
        <v>1</v>
      </c>
      <c r="I155" s="162" t="n">
        <v>3</v>
      </c>
      <c r="J155" s="162" t="n">
        <v>6</v>
      </c>
      <c r="K155" s="162" t="n">
        <v>12</v>
      </c>
      <c r="L155" s="165" t="s">
        <v>503</v>
      </c>
      <c r="M155" s="118" t="n"/>
      <c r="N155" s="118" t="n"/>
      <c r="O155" s="118" t="n"/>
    </row>
    <row r="156" ht="14" customHeight="1">
      <c r="A156" s="160" t="s">
        <v>154</v>
      </c>
      <c r="B156" s="160" t="s">
        <v>155</v>
      </c>
      <c r="C156" s="160" t="n">
        <v>3</v>
      </c>
      <c r="D156" s="160" t="n">
        <v>10</v>
      </c>
      <c r="E156" s="160" t="s">
        <v>643</v>
      </c>
      <c r="F156" s="160" t="s">
        <v>505</v>
      </c>
      <c r="G156" s="146" t="s">
        <v>477</v>
      </c>
      <c r="H156" s="165" t="n">
        <v>1</v>
      </c>
      <c r="I156" s="162" t="n">
        <v>6</v>
      </c>
      <c r="J156" s="162" t="n">
        <v>12</v>
      </c>
      <c r="K156" s="162" t="n">
        <v>22</v>
      </c>
      <c r="L156" s="165" t="s">
        <v>506</v>
      </c>
      <c r="M156" s="113" t="n"/>
      <c r="N156" s="113" t="n"/>
      <c r="O156" s="113" t="n"/>
    </row>
    <row r="157" ht="14" customHeight="1">
      <c r="A157" s="152">
        <is>
          <t xml:space="preserve">  ↳ WF-EXPORT-01 L2 total</t>
        </is>
      </c>
      <c r="B157" s="152" t="n"/>
      <c r="C157" s="152" t="n"/>
      <c r="D157" s="152" t="n"/>
      <c r="E157" s="152" t="n"/>
      <c r="F157" s="152" t="n"/>
      <c r="G157" s="152" t="n"/>
      <c r="H157" s="166" t="n"/>
      <c r="I157" s="154" t="n">
        <v>64.40000000000001</v>
      </c>
      <c r="J157" s="154" t="n">
        <v>129.5</v>
      </c>
      <c r="K157" s="154" t="n">
        <v>247.4</v>
      </c>
      <c r="L157" s="166" t="s">
        <v>644</v>
      </c>
      <c r="M157" s="113" t="n"/>
      <c r="N157" s="113" t="n"/>
      <c r="O157" s="113" t="n"/>
    </row>
    <row r="158" ht="14" customHeight="1">
      <c r="A158" s="156" t="s">
        <v>158</v>
      </c>
      <c r="B158" s="156" t="s">
        <v>159</v>
      </c>
      <c r="C158" s="156" t="n">
        <v>3</v>
      </c>
      <c r="D158" s="156" t="n">
        <v>1</v>
      </c>
      <c r="E158" s="156" t="s">
        <v>645</v>
      </c>
      <c r="F158" s="156" t="s">
        <v>476</v>
      </c>
      <c r="G158" s="146" t="s">
        <v>477</v>
      </c>
      <c r="H158" s="169" t="n">
        <v>1</v>
      </c>
      <c r="I158" s="158" t="n">
        <v>5</v>
      </c>
      <c r="J158" s="158" t="n">
        <v>8</v>
      </c>
      <c r="K158" s="158" t="n">
        <v>15</v>
      </c>
      <c r="L158" s="169" t="s">
        <v>478</v>
      </c>
      <c r="M158" s="118" t="n"/>
      <c r="N158" s="118" t="n"/>
      <c r="O158" s="118" t="n"/>
    </row>
    <row r="159" ht="14" customHeight="1">
      <c r="A159" s="156" t="s">
        <v>158</v>
      </c>
      <c r="B159" s="156" t="s">
        <v>159</v>
      </c>
      <c r="C159" s="156" t="n">
        <v>3</v>
      </c>
      <c r="D159" s="156" t="n">
        <v>2</v>
      </c>
      <c r="E159" s="156" t="s">
        <v>646</v>
      </c>
      <c r="F159" s="156" t="s">
        <v>480</v>
      </c>
      <c r="G159" s="164" t="s">
        <v>528</v>
      </c>
      <c r="H159" s="169" t="n">
        <v>0.3</v>
      </c>
      <c r="I159" s="158" t="n">
        <v>2.4</v>
      </c>
      <c r="J159" s="158" t="n">
        <v>4.5</v>
      </c>
      <c r="K159" s="158" t="n">
        <v>8.4</v>
      </c>
      <c r="L159" s="169" t="s">
        <v>529</v>
      </c>
      <c r="M159" s="113" t="n"/>
      <c r="N159" s="113" t="n"/>
      <c r="O159" s="113" t="n"/>
    </row>
    <row r="160" ht="14" customHeight="1">
      <c r="A160" s="156" t="s">
        <v>158</v>
      </c>
      <c r="B160" s="156" t="s">
        <v>159</v>
      </c>
      <c r="C160" s="156" t="n">
        <v>3</v>
      </c>
      <c r="D160" s="156" t="n">
        <v>3</v>
      </c>
      <c r="E160" s="156" t="s">
        <v>647</v>
      </c>
      <c r="F160" s="156" t="s">
        <v>484</v>
      </c>
      <c r="G160" s="146" t="s">
        <v>477</v>
      </c>
      <c r="H160" s="169" t="n">
        <v>1</v>
      </c>
      <c r="I160" s="158" t="n">
        <v>5</v>
      </c>
      <c r="J160" s="158" t="n">
        <v>10</v>
      </c>
      <c r="K160" s="158" t="n">
        <v>20</v>
      </c>
      <c r="L160" s="169" t="s">
        <v>485</v>
      </c>
      <c r="M160" s="113" t="n"/>
      <c r="N160" s="113" t="n"/>
      <c r="O160" s="113" t="n"/>
    </row>
    <row r="161" ht="14" customHeight="1">
      <c r="A161" s="156" t="s">
        <v>158</v>
      </c>
      <c r="B161" s="156" t="s">
        <v>159</v>
      </c>
      <c r="C161" s="156" t="n">
        <v>3</v>
      </c>
      <c r="D161" s="156" t="n">
        <v>4</v>
      </c>
      <c r="E161" s="156" t="s">
        <v>648</v>
      </c>
      <c r="F161" s="156" t="s">
        <v>487</v>
      </c>
      <c r="G161" s="146" t="s">
        <v>477</v>
      </c>
      <c r="H161" s="169" t="n">
        <v>1</v>
      </c>
      <c r="I161" s="158" t="n">
        <v>8</v>
      </c>
      <c r="J161" s="158" t="n">
        <v>18</v>
      </c>
      <c r="K161" s="158" t="n">
        <v>35</v>
      </c>
      <c r="L161" s="169" t="s">
        <v>488</v>
      </c>
      <c r="M161" s="118" t="n"/>
      <c r="N161" s="118" t="n"/>
      <c r="O161" s="118" t="n"/>
    </row>
    <row r="162" ht="14" customHeight="1">
      <c r="A162" s="156" t="s">
        <v>158</v>
      </c>
      <c r="B162" s="156" t="s">
        <v>159</v>
      </c>
      <c r="C162" s="156" t="n">
        <v>3</v>
      </c>
      <c r="D162" s="156" t="n">
        <v>5</v>
      </c>
      <c r="E162" s="156" t="s">
        <v>649</v>
      </c>
      <c r="F162" s="156" t="s">
        <v>490</v>
      </c>
      <c r="G162" s="146" t="s">
        <v>477</v>
      </c>
      <c r="H162" s="169" t="n">
        <v>1</v>
      </c>
      <c r="I162" s="158" t="n">
        <v>6</v>
      </c>
      <c r="J162" s="158" t="n">
        <v>12</v>
      </c>
      <c r="K162" s="158" t="n">
        <v>22</v>
      </c>
      <c r="L162" s="169" t="s">
        <v>491</v>
      </c>
      <c r="M162" s="113" t="n"/>
      <c r="N162" s="113" t="n"/>
      <c r="O162" s="113" t="n"/>
    </row>
    <row r="163" ht="14" customHeight="1">
      <c r="A163" s="156" t="s">
        <v>158</v>
      </c>
      <c r="B163" s="156" t="s">
        <v>159</v>
      </c>
      <c r="C163" s="156" t="n">
        <v>3</v>
      </c>
      <c r="D163" s="156" t="n">
        <v>6</v>
      </c>
      <c r="E163" s="156" t="s">
        <v>650</v>
      </c>
      <c r="F163" s="156" t="s">
        <v>493</v>
      </c>
      <c r="G163" s="149" t="s">
        <v>481</v>
      </c>
      <c r="H163" s="169" t="n">
        <v>0.6</v>
      </c>
      <c r="I163" s="158" t="n">
        <v>4.8</v>
      </c>
      <c r="J163" s="158" t="n">
        <v>9.6</v>
      </c>
      <c r="K163" s="158" t="n">
        <v>18</v>
      </c>
      <c r="L163" s="169" t="s">
        <v>576</v>
      </c>
      <c r="M163" s="113" t="n"/>
      <c r="N163" s="113" t="n"/>
      <c r="O163" s="113" t="n"/>
    </row>
    <row r="164" ht="14" customHeight="1">
      <c r="A164" s="156" t="s">
        <v>158</v>
      </c>
      <c r="B164" s="156" t="s">
        <v>159</v>
      </c>
      <c r="C164" s="156" t="n">
        <v>3</v>
      </c>
      <c r="D164" s="156" t="n">
        <v>7</v>
      </c>
      <c r="E164" s="156" t="s">
        <v>651</v>
      </c>
      <c r="F164" s="156" t="s">
        <v>496</v>
      </c>
      <c r="G164" s="146" t="s">
        <v>477</v>
      </c>
      <c r="H164" s="169" t="n">
        <v>1</v>
      </c>
      <c r="I164" s="158" t="n">
        <v>10</v>
      </c>
      <c r="J164" s="158" t="n">
        <v>20</v>
      </c>
      <c r="K164" s="158" t="n">
        <v>40</v>
      </c>
      <c r="L164" s="169" t="s">
        <v>497</v>
      </c>
      <c r="M164" s="118" t="n"/>
      <c r="N164" s="118" t="n"/>
      <c r="O164" s="118" t="n"/>
    </row>
    <row r="165" ht="14" customHeight="1">
      <c r="A165" s="156" t="s">
        <v>158</v>
      </c>
      <c r="B165" s="156" t="s">
        <v>159</v>
      </c>
      <c r="C165" s="156" t="n">
        <v>3</v>
      </c>
      <c r="D165" s="156" t="n">
        <v>8</v>
      </c>
      <c r="E165" s="156" t="s">
        <v>652</v>
      </c>
      <c r="F165" s="156" t="s">
        <v>499</v>
      </c>
      <c r="G165" s="146" t="s">
        <v>477</v>
      </c>
      <c r="H165" s="169" t="n">
        <v>1</v>
      </c>
      <c r="I165" s="158" t="n">
        <v>8</v>
      </c>
      <c r="J165" s="158" t="n">
        <v>15</v>
      </c>
      <c r="K165" s="158" t="n">
        <v>28</v>
      </c>
      <c r="L165" s="169" t="s">
        <v>500</v>
      </c>
      <c r="M165" s="113" t="n"/>
      <c r="N165" s="113" t="n"/>
      <c r="O165" s="113" t="n"/>
    </row>
    <row r="166" ht="14" customHeight="1">
      <c r="A166" s="156" t="s">
        <v>158</v>
      </c>
      <c r="B166" s="156" t="s">
        <v>159</v>
      </c>
      <c r="C166" s="156" t="n">
        <v>3</v>
      </c>
      <c r="D166" s="156" t="n">
        <v>9</v>
      </c>
      <c r="E166" s="156" t="s">
        <v>501</v>
      </c>
      <c r="F166" s="156" t="s">
        <v>502</v>
      </c>
      <c r="G166" s="146" t="s">
        <v>477</v>
      </c>
      <c r="H166" s="169" t="n">
        <v>1</v>
      </c>
      <c r="I166" s="158" t="n">
        <v>3</v>
      </c>
      <c r="J166" s="158" t="n">
        <v>6</v>
      </c>
      <c r="K166" s="158" t="n">
        <v>12</v>
      </c>
      <c r="L166" s="169" t="s">
        <v>503</v>
      </c>
      <c r="M166" s="113" t="n"/>
      <c r="N166" s="113" t="n"/>
      <c r="O166" s="113" t="n"/>
    </row>
    <row r="167" ht="14" customHeight="1">
      <c r="A167" s="167">
        <is>
          <t xml:space="preserve">  ↳ PH-LIST-01 L2 total</t>
        </is>
      </c>
      <c r="B167" s="167" t="n"/>
      <c r="C167" s="167" t="n"/>
      <c r="D167" s="167" t="n"/>
      <c r="E167" s="167" t="n"/>
      <c r="F167" s="167" t="n"/>
      <c r="G167" s="167" t="n"/>
      <c r="H167" s="167" t="n"/>
      <c r="I167" s="168" t="n">
        <v>52.2</v>
      </c>
      <c r="J167" s="168" t="n">
        <v>103.1</v>
      </c>
      <c r="K167" s="168" t="n">
        <v>198.4</v>
      </c>
      <c r="L167" s="167" t="s">
        <v>653</v>
      </c>
      <c r="M167" s="118" t="n"/>
      <c r="N167" s="118" t="n"/>
      <c r="O167" s="118" t="n"/>
    </row>
    <row r="168" ht="14" customHeight="1">
      <c r="A168" s="156" t="s">
        <v>163</v>
      </c>
      <c r="B168" s="156" t="s">
        <v>164</v>
      </c>
      <c r="C168" s="156" t="n">
        <v>3</v>
      </c>
      <c r="D168" s="156" t="n">
        <v>1</v>
      </c>
      <c r="E168" s="156" t="s">
        <v>654</v>
      </c>
      <c r="F168" s="156" t="s">
        <v>476</v>
      </c>
      <c r="G168" s="146" t="s">
        <v>477</v>
      </c>
      <c r="H168" s="169" t="n">
        <v>1</v>
      </c>
      <c r="I168" s="158" t="n">
        <v>5</v>
      </c>
      <c r="J168" s="158" t="n">
        <v>8</v>
      </c>
      <c r="K168" s="158" t="n">
        <v>15</v>
      </c>
      <c r="L168" s="169" t="s">
        <v>478</v>
      </c>
      <c r="M168" s="113" t="n"/>
      <c r="N168" s="113" t="n"/>
      <c r="O168" s="113" t="n"/>
    </row>
    <row r="169" ht="14" customHeight="1">
      <c r="A169" s="156" t="s">
        <v>163</v>
      </c>
      <c r="B169" s="156" t="s">
        <v>164</v>
      </c>
      <c r="C169" s="156" t="n">
        <v>3</v>
      </c>
      <c r="D169" s="156" t="n">
        <v>2</v>
      </c>
      <c r="E169" s="156" t="s">
        <v>655</v>
      </c>
      <c r="F169" s="156" t="s">
        <v>480</v>
      </c>
      <c r="G169" s="164" t="s">
        <v>528</v>
      </c>
      <c r="H169" s="169" t="n">
        <v>0.3</v>
      </c>
      <c r="I169" s="158" t="n">
        <v>2.4</v>
      </c>
      <c r="J169" s="158" t="n">
        <v>4.5</v>
      </c>
      <c r="K169" s="158" t="n">
        <v>8.4</v>
      </c>
      <c r="L169" s="169" t="s">
        <v>529</v>
      </c>
      <c r="M169" s="113" t="n"/>
      <c r="N169" s="113" t="n"/>
      <c r="O169" s="113" t="n"/>
    </row>
    <row r="170" ht="14" customHeight="1">
      <c r="A170" s="156" t="s">
        <v>163</v>
      </c>
      <c r="B170" s="156" t="s">
        <v>164</v>
      </c>
      <c r="C170" s="156" t="n">
        <v>3</v>
      </c>
      <c r="D170" s="156" t="n">
        <v>3</v>
      </c>
      <c r="E170" s="156" t="s">
        <v>656</v>
      </c>
      <c r="F170" s="156" t="s">
        <v>484</v>
      </c>
      <c r="G170" s="146" t="s">
        <v>477</v>
      </c>
      <c r="H170" s="169" t="n">
        <v>1</v>
      </c>
      <c r="I170" s="158" t="n">
        <v>5</v>
      </c>
      <c r="J170" s="158" t="n">
        <v>10</v>
      </c>
      <c r="K170" s="158" t="n">
        <v>20</v>
      </c>
      <c r="L170" s="169" t="s">
        <v>485</v>
      </c>
      <c r="M170" s="118" t="n"/>
      <c r="N170" s="118" t="n"/>
      <c r="O170" s="118" t="n"/>
    </row>
    <row r="171" ht="14" customHeight="1">
      <c r="A171" s="156" t="s">
        <v>163</v>
      </c>
      <c r="B171" s="156" t="s">
        <v>164</v>
      </c>
      <c r="C171" s="156" t="n">
        <v>3</v>
      </c>
      <c r="D171" s="156" t="n">
        <v>4</v>
      </c>
      <c r="E171" s="156" t="s">
        <v>657</v>
      </c>
      <c r="F171" s="156" t="s">
        <v>487</v>
      </c>
      <c r="G171" s="146" t="s">
        <v>477</v>
      </c>
      <c r="H171" s="169" t="n">
        <v>1</v>
      </c>
      <c r="I171" s="158" t="n">
        <v>8</v>
      </c>
      <c r="J171" s="158" t="n">
        <v>18</v>
      </c>
      <c r="K171" s="158" t="n">
        <v>35</v>
      </c>
      <c r="L171" s="169" t="s">
        <v>488</v>
      </c>
      <c r="M171" s="113" t="n"/>
      <c r="N171" s="113" t="n"/>
      <c r="O171" s="113" t="n"/>
    </row>
    <row r="172" ht="14" customHeight="1">
      <c r="A172" s="156" t="s">
        <v>163</v>
      </c>
      <c r="B172" s="156" t="s">
        <v>164</v>
      </c>
      <c r="C172" s="156" t="n">
        <v>3</v>
      </c>
      <c r="D172" s="156" t="n">
        <v>5</v>
      </c>
      <c r="E172" s="156" t="s">
        <v>658</v>
      </c>
      <c r="F172" s="156" t="s">
        <v>490</v>
      </c>
      <c r="G172" s="146" t="s">
        <v>477</v>
      </c>
      <c r="H172" s="169" t="n">
        <v>1</v>
      </c>
      <c r="I172" s="158" t="n">
        <v>6</v>
      </c>
      <c r="J172" s="158" t="n">
        <v>12</v>
      </c>
      <c r="K172" s="158" t="n">
        <v>22</v>
      </c>
      <c r="L172" s="169" t="s">
        <v>491</v>
      </c>
      <c r="M172" s="113" t="n"/>
      <c r="N172" s="113" t="n"/>
      <c r="O172" s="113" t="n"/>
    </row>
    <row r="173" ht="14" customHeight="1">
      <c r="A173" s="156" t="s">
        <v>163</v>
      </c>
      <c r="B173" s="156" t="s">
        <v>164</v>
      </c>
      <c r="C173" s="156" t="n">
        <v>3</v>
      </c>
      <c r="D173" s="156" t="n">
        <v>6</v>
      </c>
      <c r="E173" s="156" t="s">
        <v>659</v>
      </c>
      <c r="F173" s="156" t="s">
        <v>493</v>
      </c>
      <c r="G173" s="149" t="s">
        <v>481</v>
      </c>
      <c r="H173" s="169" t="n">
        <v>0.6</v>
      </c>
      <c r="I173" s="158" t="n">
        <v>4.8</v>
      </c>
      <c r="J173" s="158" t="n">
        <v>9.6</v>
      </c>
      <c r="K173" s="158" t="n">
        <v>18</v>
      </c>
      <c r="L173" s="169" t="s">
        <v>576</v>
      </c>
      <c r="M173" s="118" t="n"/>
      <c r="N173" s="118" t="n"/>
      <c r="O173" s="118" t="n"/>
    </row>
    <row r="174" ht="14" customHeight="1">
      <c r="A174" s="156" t="s">
        <v>163</v>
      </c>
      <c r="B174" s="156" t="s">
        <v>164</v>
      </c>
      <c r="C174" s="156" t="n">
        <v>3</v>
      </c>
      <c r="D174" s="156" t="n">
        <v>7</v>
      </c>
      <c r="E174" s="156" t="s">
        <v>660</v>
      </c>
      <c r="F174" s="156" t="s">
        <v>496</v>
      </c>
      <c r="G174" s="146" t="s">
        <v>477</v>
      </c>
      <c r="H174" s="169" t="n">
        <v>1</v>
      </c>
      <c r="I174" s="158" t="n">
        <v>10</v>
      </c>
      <c r="J174" s="158" t="n">
        <v>20</v>
      </c>
      <c r="K174" s="158" t="n">
        <v>40</v>
      </c>
      <c r="L174" s="169" t="s">
        <v>497</v>
      </c>
      <c r="M174" s="113" t="n"/>
      <c r="N174" s="113" t="n"/>
      <c r="O174" s="113" t="n"/>
    </row>
    <row r="175" ht="14" customHeight="1">
      <c r="A175" s="156" t="s">
        <v>163</v>
      </c>
      <c r="B175" s="156" t="s">
        <v>164</v>
      </c>
      <c r="C175" s="156" t="n">
        <v>3</v>
      </c>
      <c r="D175" s="156" t="n">
        <v>8</v>
      </c>
      <c r="E175" s="156" t="s">
        <v>661</v>
      </c>
      <c r="F175" s="156" t="s">
        <v>499</v>
      </c>
      <c r="G175" s="146" t="s">
        <v>477</v>
      </c>
      <c r="H175" s="169" t="n">
        <v>1</v>
      </c>
      <c r="I175" s="158" t="n">
        <v>8</v>
      </c>
      <c r="J175" s="158" t="n">
        <v>15</v>
      </c>
      <c r="K175" s="158" t="n">
        <v>28</v>
      </c>
      <c r="L175" s="169" t="s">
        <v>500</v>
      </c>
      <c r="M175" s="113" t="n"/>
      <c r="N175" s="113" t="n"/>
      <c r="O175" s="113" t="n"/>
    </row>
    <row r="176" ht="14" customHeight="1">
      <c r="A176" s="156" t="s">
        <v>163</v>
      </c>
      <c r="B176" s="156" t="s">
        <v>164</v>
      </c>
      <c r="C176" s="156" t="n">
        <v>3</v>
      </c>
      <c r="D176" s="156" t="n">
        <v>9</v>
      </c>
      <c r="E176" s="156" t="s">
        <v>501</v>
      </c>
      <c r="F176" s="156" t="s">
        <v>502</v>
      </c>
      <c r="G176" s="146" t="s">
        <v>477</v>
      </c>
      <c r="H176" s="169" t="n">
        <v>1</v>
      </c>
      <c r="I176" s="158" t="n">
        <v>3</v>
      </c>
      <c r="J176" s="158" t="n">
        <v>6</v>
      </c>
      <c r="K176" s="158" t="n">
        <v>12</v>
      </c>
      <c r="L176" s="169" t="s">
        <v>503</v>
      </c>
      <c r="M176" s="118" t="n"/>
      <c r="N176" s="118" t="n"/>
      <c r="O176" s="118" t="n"/>
    </row>
    <row r="177" ht="14" customHeight="1">
      <c r="A177" s="152">
        <is>
          <t xml:space="preserve">  ↳ PH-CREATE-01 L2 total</t>
        </is>
      </c>
      <c r="B177" s="152" t="n"/>
      <c r="C177" s="152" t="n"/>
      <c r="D177" s="152" t="n"/>
      <c r="E177" s="152" t="n"/>
      <c r="F177" s="152" t="n"/>
      <c r="G177" s="152" t="n"/>
      <c r="H177" s="166" t="n"/>
      <c r="I177" s="154" t="n">
        <v>52.2</v>
      </c>
      <c r="J177" s="154" t="n">
        <v>103.1</v>
      </c>
      <c r="K177" s="154" t="n">
        <v>198.4</v>
      </c>
      <c r="L177" s="166" t="s">
        <v>653</v>
      </c>
      <c r="M177" s="113" t="n"/>
      <c r="N177" s="113" t="n"/>
      <c r="O177" s="113" t="n"/>
    </row>
    <row r="178" ht="14" customHeight="1">
      <c r="A178" s="156" t="s">
        <v>167</v>
      </c>
      <c r="B178" s="156" t="s">
        <v>168</v>
      </c>
      <c r="C178" s="156" t="n">
        <v>3</v>
      </c>
      <c r="D178" s="156" t="n">
        <v>1</v>
      </c>
      <c r="E178" s="156" t="s">
        <v>662</v>
      </c>
      <c r="F178" s="156" t="s">
        <v>476</v>
      </c>
      <c r="G178" s="146" t="s">
        <v>477</v>
      </c>
      <c r="H178" s="169" t="n">
        <v>1</v>
      </c>
      <c r="I178" s="158" t="n">
        <v>5</v>
      </c>
      <c r="J178" s="158" t="n">
        <v>8</v>
      </c>
      <c r="K178" s="158" t="n">
        <v>15</v>
      </c>
      <c r="L178" s="169" t="s">
        <v>478</v>
      </c>
      <c r="M178" s="113" t="n"/>
      <c r="N178" s="113" t="n"/>
      <c r="O178" s="113" t="n"/>
    </row>
    <row r="179" ht="14" customHeight="1">
      <c r="A179" s="156" t="s">
        <v>167</v>
      </c>
      <c r="B179" s="156" t="s">
        <v>168</v>
      </c>
      <c r="C179" s="156" t="n">
        <v>3</v>
      </c>
      <c r="D179" s="156" t="n">
        <v>2</v>
      </c>
      <c r="E179" s="156" t="s">
        <v>655</v>
      </c>
      <c r="F179" s="156" t="s">
        <v>480</v>
      </c>
      <c r="G179" s="164" t="s">
        <v>528</v>
      </c>
      <c r="H179" s="169" t="n">
        <v>0.3</v>
      </c>
      <c r="I179" s="158" t="n">
        <v>2.4</v>
      </c>
      <c r="J179" s="158" t="n">
        <v>4.5</v>
      </c>
      <c r="K179" s="158" t="n">
        <v>8.4</v>
      </c>
      <c r="L179" s="169" t="s">
        <v>529</v>
      </c>
      <c r="M179" s="118" t="n"/>
      <c r="N179" s="118" t="n"/>
      <c r="O179" s="118" t="n"/>
    </row>
    <row r="180" ht="14" customHeight="1">
      <c r="A180" s="156" t="s">
        <v>167</v>
      </c>
      <c r="B180" s="156" t="s">
        <v>168</v>
      </c>
      <c r="C180" s="156" t="n">
        <v>3</v>
      </c>
      <c r="D180" s="156" t="n">
        <v>3</v>
      </c>
      <c r="E180" s="156" t="s">
        <v>663</v>
      </c>
      <c r="F180" s="156" t="s">
        <v>484</v>
      </c>
      <c r="G180" s="146" t="s">
        <v>477</v>
      </c>
      <c r="H180" s="169" t="n">
        <v>1</v>
      </c>
      <c r="I180" s="158" t="n">
        <v>5</v>
      </c>
      <c r="J180" s="158" t="n">
        <v>10</v>
      </c>
      <c r="K180" s="158" t="n">
        <v>20</v>
      </c>
      <c r="L180" s="169" t="s">
        <v>485</v>
      </c>
      <c r="M180" s="113" t="n"/>
      <c r="N180" s="113" t="n"/>
      <c r="O180" s="113" t="n"/>
    </row>
    <row r="181" ht="14" customHeight="1">
      <c r="A181" s="156" t="s">
        <v>167</v>
      </c>
      <c r="B181" s="156" t="s">
        <v>168</v>
      </c>
      <c r="C181" s="156" t="n">
        <v>3</v>
      </c>
      <c r="D181" s="156" t="n">
        <v>4</v>
      </c>
      <c r="E181" s="156" t="s">
        <v>664</v>
      </c>
      <c r="F181" s="156" t="s">
        <v>487</v>
      </c>
      <c r="G181" s="146" t="s">
        <v>477</v>
      </c>
      <c r="H181" s="169" t="n">
        <v>1</v>
      </c>
      <c r="I181" s="158" t="n">
        <v>8</v>
      </c>
      <c r="J181" s="158" t="n">
        <v>18</v>
      </c>
      <c r="K181" s="158" t="n">
        <v>35</v>
      </c>
      <c r="L181" s="169" t="s">
        <v>488</v>
      </c>
      <c r="M181" s="113" t="n"/>
      <c r="N181" s="113" t="n"/>
      <c r="O181" s="113" t="n"/>
    </row>
    <row r="182" ht="14" customHeight="1">
      <c r="A182" s="156" t="s">
        <v>167</v>
      </c>
      <c r="B182" s="156" t="s">
        <v>168</v>
      </c>
      <c r="C182" s="156" t="n">
        <v>3</v>
      </c>
      <c r="D182" s="156" t="n">
        <v>5</v>
      </c>
      <c r="E182" s="156" t="s">
        <v>665</v>
      </c>
      <c r="F182" s="156" t="s">
        <v>490</v>
      </c>
      <c r="G182" s="146" t="s">
        <v>477</v>
      </c>
      <c r="H182" s="169" t="n">
        <v>1</v>
      </c>
      <c r="I182" s="158" t="n">
        <v>6</v>
      </c>
      <c r="J182" s="158" t="n">
        <v>12</v>
      </c>
      <c r="K182" s="158" t="n">
        <v>22</v>
      </c>
      <c r="L182" s="169" t="s">
        <v>491</v>
      </c>
      <c r="M182" s="118" t="n"/>
      <c r="N182" s="118" t="n"/>
      <c r="O182" s="118" t="n"/>
    </row>
    <row r="183" ht="14" customHeight="1">
      <c r="A183" s="156" t="s">
        <v>167</v>
      </c>
      <c r="B183" s="156" t="s">
        <v>168</v>
      </c>
      <c r="C183" s="156" t="n">
        <v>3</v>
      </c>
      <c r="D183" s="156" t="n">
        <v>6</v>
      </c>
      <c r="E183" s="156" t="s">
        <v>666</v>
      </c>
      <c r="F183" s="156" t="s">
        <v>493</v>
      </c>
      <c r="G183" s="149" t="s">
        <v>481</v>
      </c>
      <c r="H183" s="169" t="n">
        <v>0.6</v>
      </c>
      <c r="I183" s="158" t="n">
        <v>4.8</v>
      </c>
      <c r="J183" s="158" t="n">
        <v>9.6</v>
      </c>
      <c r="K183" s="158" t="n">
        <v>18</v>
      </c>
      <c r="L183" s="169" t="s">
        <v>576</v>
      </c>
      <c r="M183" s="113" t="n"/>
      <c r="N183" s="113" t="n"/>
      <c r="O183" s="113" t="n"/>
    </row>
    <row r="184" ht="14" customHeight="1">
      <c r="A184" s="156" t="s">
        <v>167</v>
      </c>
      <c r="B184" s="156" t="s">
        <v>168</v>
      </c>
      <c r="C184" s="156" t="n">
        <v>3</v>
      </c>
      <c r="D184" s="156" t="n">
        <v>7</v>
      </c>
      <c r="E184" s="156" t="s">
        <v>667</v>
      </c>
      <c r="F184" s="156" t="s">
        <v>496</v>
      </c>
      <c r="G184" s="146" t="s">
        <v>477</v>
      </c>
      <c r="H184" s="169" t="n">
        <v>1</v>
      </c>
      <c r="I184" s="158" t="n">
        <v>10</v>
      </c>
      <c r="J184" s="158" t="n">
        <v>20</v>
      </c>
      <c r="K184" s="158" t="n">
        <v>40</v>
      </c>
      <c r="L184" s="169" t="s">
        <v>497</v>
      </c>
      <c r="M184" s="113" t="n"/>
      <c r="N184" s="113" t="n"/>
      <c r="O184" s="113" t="n"/>
    </row>
    <row r="185" ht="14" customHeight="1">
      <c r="A185" s="156" t="s">
        <v>167</v>
      </c>
      <c r="B185" s="156" t="s">
        <v>168</v>
      </c>
      <c r="C185" s="156" t="n">
        <v>3</v>
      </c>
      <c r="D185" s="156" t="n">
        <v>8</v>
      </c>
      <c r="E185" s="156" t="s">
        <v>668</v>
      </c>
      <c r="F185" s="156" t="s">
        <v>499</v>
      </c>
      <c r="G185" s="146" t="s">
        <v>477</v>
      </c>
      <c r="H185" s="169" t="n">
        <v>1</v>
      </c>
      <c r="I185" s="158" t="n">
        <v>8</v>
      </c>
      <c r="J185" s="158" t="n">
        <v>15</v>
      </c>
      <c r="K185" s="158" t="n">
        <v>28</v>
      </c>
      <c r="L185" s="169" t="s">
        <v>500</v>
      </c>
      <c r="M185" s="118" t="n"/>
      <c r="N185" s="118" t="n"/>
      <c r="O185" s="118" t="n"/>
    </row>
    <row r="186" ht="14" customHeight="1">
      <c r="A186" s="156" t="s">
        <v>167</v>
      </c>
      <c r="B186" s="156" t="s">
        <v>168</v>
      </c>
      <c r="C186" s="156" t="n">
        <v>3</v>
      </c>
      <c r="D186" s="156" t="n">
        <v>9</v>
      </c>
      <c r="E186" s="156" t="s">
        <v>501</v>
      </c>
      <c r="F186" s="156" t="s">
        <v>502</v>
      </c>
      <c r="G186" s="146" t="s">
        <v>477</v>
      </c>
      <c r="H186" s="169" t="n">
        <v>1</v>
      </c>
      <c r="I186" s="158" t="n">
        <v>3</v>
      </c>
      <c r="J186" s="158" t="n">
        <v>6</v>
      </c>
      <c r="K186" s="158" t="n">
        <v>12</v>
      </c>
      <c r="L186" s="169" t="s">
        <v>503</v>
      </c>
      <c r="M186" s="103" t="n"/>
      <c r="N186" s="103" t="n"/>
      <c r="O186" s="103" t="n"/>
    </row>
    <row r="187" ht="14" customHeight="1">
      <c r="A187" s="152">
        <is>
          <t xml:space="preserve">  ↳ PH-VIEW-01 L2 total</t>
        </is>
      </c>
      <c r="B187" s="152" t="n"/>
      <c r="C187" s="152" t="n"/>
      <c r="D187" s="152" t="n"/>
      <c r="E187" s="152" t="n"/>
      <c r="F187" s="152" t="n"/>
      <c r="G187" s="152" t="n"/>
      <c r="H187" s="166" t="n"/>
      <c r="I187" s="154" t="n">
        <v>52.2</v>
      </c>
      <c r="J187" s="154" t="n">
        <v>103.1</v>
      </c>
      <c r="K187" s="154" t="n">
        <v>198.4</v>
      </c>
      <c r="L187" s="166" t="s">
        <v>653</v>
      </c>
      <c r="M187" s="103" t="n"/>
      <c r="N187" s="103" t="n"/>
      <c r="O187" s="103" t="n"/>
    </row>
    <row r="188" ht="14" customHeight="1">
      <c r="A188" s="156" t="s">
        <v>171</v>
      </c>
      <c r="B188" s="156" t="s">
        <v>172</v>
      </c>
      <c r="C188" s="156" t="n">
        <v>3</v>
      </c>
      <c r="D188" s="156" t="n">
        <v>1</v>
      </c>
      <c r="E188" s="156" t="s">
        <v>669</v>
      </c>
      <c r="F188" s="156" t="s">
        <v>476</v>
      </c>
      <c r="G188" s="146" t="s">
        <v>477</v>
      </c>
      <c r="H188" s="169" t="n">
        <v>1</v>
      </c>
      <c r="I188" s="158" t="n">
        <v>5</v>
      </c>
      <c r="J188" s="158" t="n">
        <v>8</v>
      </c>
      <c r="K188" s="158" t="n">
        <v>15</v>
      </c>
      <c r="L188" s="169" t="s">
        <v>478</v>
      </c>
      <c r="M188" s="103" t="n"/>
      <c r="N188" s="103" t="n"/>
      <c r="O188" s="103" t="n"/>
    </row>
    <row r="189" ht="14" customHeight="1">
      <c r="A189" s="156" t="s">
        <v>171</v>
      </c>
      <c r="B189" s="156" t="s">
        <v>172</v>
      </c>
      <c r="C189" s="156" t="n">
        <v>3</v>
      </c>
      <c r="D189" s="156" t="n">
        <v>2</v>
      </c>
      <c r="E189" s="156" t="s">
        <v>670</v>
      </c>
      <c r="F189" s="156" t="s">
        <v>484</v>
      </c>
      <c r="G189" s="146" t="s">
        <v>477</v>
      </c>
      <c r="H189" s="169" t="n">
        <v>1</v>
      </c>
      <c r="I189" s="158" t="n">
        <v>5</v>
      </c>
      <c r="J189" s="158" t="n">
        <v>10</v>
      </c>
      <c r="K189" s="158" t="n">
        <v>20</v>
      </c>
      <c r="L189" s="169" t="s">
        <v>485</v>
      </c>
      <c r="M189" s="103" t="n"/>
      <c r="N189" s="103" t="n"/>
      <c r="O189" s="103" t="n"/>
    </row>
    <row r="190" ht="14" customHeight="1">
      <c r="A190" s="156" t="s">
        <v>171</v>
      </c>
      <c r="B190" s="156" t="s">
        <v>172</v>
      </c>
      <c r="C190" s="156" t="n">
        <v>3</v>
      </c>
      <c r="D190" s="156" t="n">
        <v>3</v>
      </c>
      <c r="E190" s="156" t="s">
        <v>671</v>
      </c>
      <c r="F190" s="156" t="s">
        <v>487</v>
      </c>
      <c r="G190" s="146" t="s">
        <v>477</v>
      </c>
      <c r="H190" s="169" t="n">
        <v>1</v>
      </c>
      <c r="I190" s="158" t="n">
        <v>8</v>
      </c>
      <c r="J190" s="158" t="n">
        <v>18</v>
      </c>
      <c r="K190" s="158" t="n">
        <v>35</v>
      </c>
      <c r="L190" s="169" t="s">
        <v>488</v>
      </c>
      <c r="M190" s="118" t="n"/>
      <c r="N190" s="118" t="n"/>
      <c r="O190" s="118" t="n"/>
    </row>
    <row r="191" ht="14" customHeight="1">
      <c r="A191" s="156" t="s">
        <v>171</v>
      </c>
      <c r="B191" s="156" t="s">
        <v>172</v>
      </c>
      <c r="C191" s="156" t="n">
        <v>3</v>
      </c>
      <c r="D191" s="156" t="n">
        <v>4</v>
      </c>
      <c r="E191" s="156" t="s">
        <v>672</v>
      </c>
      <c r="F191" s="156" t="s">
        <v>490</v>
      </c>
      <c r="G191" s="146" t="s">
        <v>477</v>
      </c>
      <c r="H191" s="169" t="n">
        <v>1</v>
      </c>
      <c r="I191" s="158" t="n">
        <v>6</v>
      </c>
      <c r="J191" s="158" t="n">
        <v>12</v>
      </c>
      <c r="K191" s="158" t="n">
        <v>22</v>
      </c>
      <c r="L191" s="169" t="s">
        <v>491</v>
      </c>
      <c r="M191" s="113" t="n"/>
      <c r="N191" s="113" t="n"/>
      <c r="O191" s="113" t="n"/>
    </row>
    <row r="192" ht="14" customHeight="1">
      <c r="A192" s="156" t="s">
        <v>171</v>
      </c>
      <c r="B192" s="156" t="s">
        <v>172</v>
      </c>
      <c r="C192" s="156" t="n">
        <v>3</v>
      </c>
      <c r="D192" s="156" t="n">
        <v>5</v>
      </c>
      <c r="E192" s="156" t="s">
        <v>673</v>
      </c>
      <c r="F192" s="156" t="s">
        <v>493</v>
      </c>
      <c r="G192" s="149" t="s">
        <v>481</v>
      </c>
      <c r="H192" s="169" t="n">
        <v>0.6</v>
      </c>
      <c r="I192" s="158" t="n">
        <v>4.8</v>
      </c>
      <c r="J192" s="158" t="n">
        <v>9.6</v>
      </c>
      <c r="K192" s="158" t="n">
        <v>18</v>
      </c>
      <c r="L192" s="169" t="s">
        <v>576</v>
      </c>
      <c r="M192" s="113" t="n"/>
      <c r="N192" s="113" t="n"/>
      <c r="O192" s="113" t="n"/>
    </row>
    <row r="193" ht="14" customHeight="1">
      <c r="A193" s="156" t="s">
        <v>171</v>
      </c>
      <c r="B193" s="156" t="s">
        <v>172</v>
      </c>
      <c r="C193" s="156" t="n">
        <v>3</v>
      </c>
      <c r="D193" s="156" t="n">
        <v>6</v>
      </c>
      <c r="E193" s="156" t="s">
        <v>626</v>
      </c>
      <c r="F193" s="156" t="s">
        <v>496</v>
      </c>
      <c r="G193" s="146" t="s">
        <v>477</v>
      </c>
      <c r="H193" s="169" t="n">
        <v>1</v>
      </c>
      <c r="I193" s="158" t="n">
        <v>10</v>
      </c>
      <c r="J193" s="158" t="n">
        <v>20</v>
      </c>
      <c r="K193" s="158" t="n">
        <v>40</v>
      </c>
      <c r="L193" s="169" t="s">
        <v>497</v>
      </c>
      <c r="M193" s="118" t="n"/>
      <c r="N193" s="118" t="n"/>
      <c r="O193" s="118" t="n"/>
    </row>
    <row r="194" ht="14" customHeight="1">
      <c r="A194" s="156" t="s">
        <v>171</v>
      </c>
      <c r="B194" s="156" t="s">
        <v>172</v>
      </c>
      <c r="C194" s="156" t="n">
        <v>3</v>
      </c>
      <c r="D194" s="156" t="n">
        <v>7</v>
      </c>
      <c r="E194" s="156" t="s">
        <v>674</v>
      </c>
      <c r="F194" s="156" t="s">
        <v>499</v>
      </c>
      <c r="G194" s="146" t="s">
        <v>477</v>
      </c>
      <c r="H194" s="169" t="n">
        <v>1</v>
      </c>
      <c r="I194" s="158" t="n">
        <v>8</v>
      </c>
      <c r="J194" s="158" t="n">
        <v>15</v>
      </c>
      <c r="K194" s="158" t="n">
        <v>28</v>
      </c>
      <c r="L194" s="169" t="s">
        <v>500</v>
      </c>
      <c r="M194" s="103" t="n"/>
      <c r="N194" s="103" t="n"/>
      <c r="O194" s="103" t="n"/>
    </row>
    <row r="195" ht="14" customHeight="1">
      <c r="A195" s="156" t="s">
        <v>171</v>
      </c>
      <c r="B195" s="156" t="s">
        <v>172</v>
      </c>
      <c r="C195" s="156" t="n">
        <v>3</v>
      </c>
      <c r="D195" s="156" t="n">
        <v>8</v>
      </c>
      <c r="E195" s="156" t="s">
        <v>501</v>
      </c>
      <c r="F195" s="156" t="s">
        <v>502</v>
      </c>
      <c r="G195" s="146" t="s">
        <v>477</v>
      </c>
      <c r="H195" s="169" t="n">
        <v>1</v>
      </c>
      <c r="I195" s="158" t="n">
        <v>3</v>
      </c>
      <c r="J195" s="158" t="n">
        <v>6</v>
      </c>
      <c r="K195" s="158" t="n">
        <v>12</v>
      </c>
      <c r="L195" s="169" t="s">
        <v>503</v>
      </c>
      <c r="M195" s="103" t="n"/>
      <c r="N195" s="103" t="n"/>
      <c r="O195" s="103" t="n"/>
    </row>
    <row r="196" ht="14" customHeight="1">
      <c r="A196" s="152">
        <is>
          <t xml:space="preserve">  ↳ PH-EDIT-01 L2 total</t>
        </is>
      </c>
      <c r="B196" s="152" t="n"/>
      <c r="C196" s="152" t="n"/>
      <c r="D196" s="152" t="n"/>
      <c r="E196" s="152" t="n"/>
      <c r="F196" s="152" t="n"/>
      <c r="G196" s="152" t="n"/>
      <c r="H196" s="166" t="n"/>
      <c r="I196" s="154" t="n">
        <v>49.8</v>
      </c>
      <c r="J196" s="154" t="n">
        <v>98.59999999999999</v>
      </c>
      <c r="K196" s="154" t="n">
        <v>190</v>
      </c>
      <c r="L196" s="166" t="s">
        <v>675</v>
      </c>
      <c r="M196" s="103" t="n"/>
      <c r="N196" s="103" t="n"/>
      <c r="O196" s="103" t="n"/>
    </row>
    <row r="197" ht="14" customHeight="1">
      <c r="A197" s="156" t="s">
        <v>175</v>
      </c>
      <c r="B197" s="156" t="s">
        <v>176</v>
      </c>
      <c r="C197" s="156" t="n">
        <v>3</v>
      </c>
      <c r="D197" s="156" t="n">
        <v>1</v>
      </c>
      <c r="E197" s="156" t="s">
        <v>676</v>
      </c>
      <c r="F197" s="156" t="s">
        <v>476</v>
      </c>
      <c r="G197" s="146" t="s">
        <v>477</v>
      </c>
      <c r="H197" s="169" t="n">
        <v>1</v>
      </c>
      <c r="I197" s="158" t="n">
        <v>5</v>
      </c>
      <c r="J197" s="158" t="n">
        <v>8</v>
      </c>
      <c r="K197" s="158" t="n">
        <v>15</v>
      </c>
      <c r="L197" s="169" t="s">
        <v>478</v>
      </c>
      <c r="M197" s="103" t="n"/>
      <c r="N197" s="103" t="n"/>
      <c r="O197" s="103" t="n"/>
    </row>
    <row r="198" ht="14" customHeight="1">
      <c r="A198" s="156" t="s">
        <v>175</v>
      </c>
      <c r="B198" s="156" t="s">
        <v>176</v>
      </c>
      <c r="C198" s="156" t="n">
        <v>3</v>
      </c>
      <c r="D198" s="156" t="n">
        <v>2</v>
      </c>
      <c r="E198" s="156" t="s">
        <v>677</v>
      </c>
      <c r="F198" s="156" t="s">
        <v>484</v>
      </c>
      <c r="G198" s="146" t="s">
        <v>477</v>
      </c>
      <c r="H198" s="169" t="n">
        <v>1</v>
      </c>
      <c r="I198" s="158" t="n">
        <v>5</v>
      </c>
      <c r="J198" s="158" t="n">
        <v>10</v>
      </c>
      <c r="K198" s="158" t="n">
        <v>20</v>
      </c>
      <c r="L198" s="169" t="s">
        <v>485</v>
      </c>
      <c r="M198" s="118" t="n"/>
      <c r="N198" s="118" t="n"/>
      <c r="O198" s="118" t="n"/>
    </row>
    <row r="199" ht="14" customHeight="1">
      <c r="A199" s="156" t="s">
        <v>175</v>
      </c>
      <c r="B199" s="156" t="s">
        <v>176</v>
      </c>
      <c r="C199" s="156" t="n">
        <v>3</v>
      </c>
      <c r="D199" s="156" t="n">
        <v>3</v>
      </c>
      <c r="E199" s="156" t="s">
        <v>678</v>
      </c>
      <c r="F199" s="156" t="s">
        <v>487</v>
      </c>
      <c r="G199" s="146" t="s">
        <v>477</v>
      </c>
      <c r="H199" s="169" t="n">
        <v>1</v>
      </c>
      <c r="I199" s="158" t="n">
        <v>8</v>
      </c>
      <c r="J199" s="158" t="n">
        <v>18</v>
      </c>
      <c r="K199" s="158" t="n">
        <v>35</v>
      </c>
      <c r="L199" s="169" t="s">
        <v>488</v>
      </c>
      <c r="M199" s="117" t="n"/>
      <c r="N199" s="117" t="n"/>
      <c r="O199" s="117" t="n"/>
    </row>
    <row r="200" ht="14" customHeight="1">
      <c r="A200" s="156" t="s">
        <v>175</v>
      </c>
      <c r="B200" s="156" t="s">
        <v>176</v>
      </c>
      <c r="C200" s="156" t="n">
        <v>3</v>
      </c>
      <c r="D200" s="156" t="n">
        <v>4</v>
      </c>
      <c r="E200" s="156" t="s">
        <v>679</v>
      </c>
      <c r="F200" s="156" t="s">
        <v>490</v>
      </c>
      <c r="G200" s="164" t="s">
        <v>528</v>
      </c>
      <c r="H200" s="169" t="n">
        <v>0.3</v>
      </c>
      <c r="I200" s="158" t="n">
        <v>1.8</v>
      </c>
      <c r="J200" s="158" t="n">
        <v>3.6</v>
      </c>
      <c r="K200" s="158" t="n">
        <v>6.6</v>
      </c>
      <c r="L200" s="169" t="s">
        <v>549</v>
      </c>
      <c r="M200" s="117" t="n"/>
      <c r="N200" s="117" t="n"/>
      <c r="O200" s="117" t="n"/>
    </row>
    <row r="201" ht="14" customHeight="1">
      <c r="A201" s="156" t="s">
        <v>175</v>
      </c>
      <c r="B201" s="156" t="s">
        <v>176</v>
      </c>
      <c r="C201" s="156" t="n">
        <v>3</v>
      </c>
      <c r="D201" s="156" t="n">
        <v>5</v>
      </c>
      <c r="E201" s="156" t="s">
        <v>680</v>
      </c>
      <c r="F201" s="156" t="s">
        <v>493</v>
      </c>
      <c r="G201" s="164" t="s">
        <v>528</v>
      </c>
      <c r="H201" s="169" t="n">
        <v>0.3</v>
      </c>
      <c r="I201" s="158" t="n">
        <v>2.4</v>
      </c>
      <c r="J201" s="158" t="n">
        <v>4.8</v>
      </c>
      <c r="K201" s="158" t="n">
        <v>9</v>
      </c>
      <c r="L201" s="169" t="s">
        <v>551</v>
      </c>
      <c r="M201" s="117" t="n"/>
      <c r="N201" s="117" t="n"/>
      <c r="O201" s="117" t="n"/>
    </row>
    <row r="202" ht="14" customHeight="1">
      <c r="A202" s="156" t="s">
        <v>175</v>
      </c>
      <c r="B202" s="156" t="s">
        <v>176</v>
      </c>
      <c r="C202" s="156" t="n">
        <v>3</v>
      </c>
      <c r="D202" s="156" t="n">
        <v>6</v>
      </c>
      <c r="E202" s="156" t="s">
        <v>681</v>
      </c>
      <c r="F202" s="156" t="s">
        <v>496</v>
      </c>
      <c r="G202" s="146" t="s">
        <v>477</v>
      </c>
      <c r="H202" s="169" t="n">
        <v>1</v>
      </c>
      <c r="I202" s="158" t="n">
        <v>10</v>
      </c>
      <c r="J202" s="158" t="n">
        <v>20</v>
      </c>
      <c r="K202" s="158" t="n">
        <v>40</v>
      </c>
      <c r="L202" s="169" t="s">
        <v>497</v>
      </c>
      <c r="M202" s="117" t="n"/>
      <c r="N202" s="117" t="n"/>
      <c r="O202" s="117" t="n"/>
    </row>
    <row r="203" ht="14" customHeight="1">
      <c r="A203" s="156" t="s">
        <v>175</v>
      </c>
      <c r="B203" s="156" t="s">
        <v>176</v>
      </c>
      <c r="C203" s="156" t="n">
        <v>3</v>
      </c>
      <c r="D203" s="156" t="n">
        <v>7</v>
      </c>
      <c r="E203" s="156" t="s">
        <v>682</v>
      </c>
      <c r="F203" s="156" t="s">
        <v>499</v>
      </c>
      <c r="G203" s="146" t="s">
        <v>477</v>
      </c>
      <c r="H203" s="169" t="n">
        <v>1</v>
      </c>
      <c r="I203" s="158" t="n">
        <v>8</v>
      </c>
      <c r="J203" s="158" t="n">
        <v>15</v>
      </c>
      <c r="K203" s="158" t="n">
        <v>28</v>
      </c>
      <c r="L203" s="169" t="s">
        <v>500</v>
      </c>
      <c r="M203" s="117" t="n"/>
      <c r="N203" s="117" t="n"/>
      <c r="O203" s="117" t="n"/>
    </row>
    <row r="204" ht="14" customHeight="1">
      <c r="A204" s="156" t="s">
        <v>175</v>
      </c>
      <c r="B204" s="156" t="s">
        <v>176</v>
      </c>
      <c r="C204" s="156" t="n">
        <v>3</v>
      </c>
      <c r="D204" s="156" t="n">
        <v>8</v>
      </c>
      <c r="E204" s="156" t="s">
        <v>501</v>
      </c>
      <c r="F204" s="156" t="s">
        <v>502</v>
      </c>
      <c r="G204" s="146" t="s">
        <v>477</v>
      </c>
      <c r="H204" s="169" t="n">
        <v>1</v>
      </c>
      <c r="I204" s="158" t="n">
        <v>3</v>
      </c>
      <c r="J204" s="158" t="n">
        <v>6</v>
      </c>
      <c r="K204" s="158" t="n">
        <v>12</v>
      </c>
      <c r="L204" s="169" t="s">
        <v>503</v>
      </c>
      <c r="M204" s="117" t="n"/>
      <c r="N204" s="117" t="n"/>
      <c r="O204" s="117" t="n"/>
    </row>
    <row r="205" ht="14" customHeight="1">
      <c r="A205" s="152">
        <is>
          <t xml:space="preserve">  ↳ PH-DELETE-01 L2 total</t>
        </is>
      </c>
      <c r="B205" s="152" t="n"/>
      <c r="C205" s="152" t="n"/>
      <c r="D205" s="152" t="n"/>
      <c r="E205" s="152" t="n"/>
      <c r="F205" s="152" t="n"/>
      <c r="G205" s="152" t="n"/>
      <c r="H205" s="166" t="n"/>
      <c r="I205" s="154" t="n">
        <v>43.2</v>
      </c>
      <c r="J205" s="154" t="n">
        <v>85.40000000000001</v>
      </c>
      <c r="K205" s="154" t="n">
        <v>165.6</v>
      </c>
      <c r="L205" s="166" t="s">
        <v>683</v>
      </c>
      <c r="M205" s="117" t="n"/>
      <c r="N205" s="117" t="n"/>
      <c r="O205" s="117" t="n"/>
    </row>
    <row r="206" ht="14" customHeight="1">
      <c r="A206" s="160" t="s">
        <v>179</v>
      </c>
      <c r="B206" s="160" t="s">
        <v>180</v>
      </c>
      <c r="C206" s="160" t="n">
        <v>4</v>
      </c>
      <c r="D206" s="160" t="n">
        <v>1</v>
      </c>
      <c r="E206" s="160" t="s">
        <v>684</v>
      </c>
      <c r="F206" s="160" t="s">
        <v>476</v>
      </c>
      <c r="G206" s="146" t="s">
        <v>477</v>
      </c>
      <c r="H206" s="165" t="n">
        <v>1</v>
      </c>
      <c r="I206" s="162" t="n">
        <v>5</v>
      </c>
      <c r="J206" s="162" t="n">
        <v>8</v>
      </c>
      <c r="K206" s="162" t="n">
        <v>15</v>
      </c>
      <c r="L206" s="165" t="s">
        <v>478</v>
      </c>
      <c r="M206" s="118" t="n"/>
      <c r="N206" s="118" t="n"/>
      <c r="O206" s="118" t="n"/>
    </row>
    <row r="207" ht="14" customHeight="1">
      <c r="A207" s="160" t="s">
        <v>179</v>
      </c>
      <c r="B207" s="160" t="s">
        <v>180</v>
      </c>
      <c r="C207" s="160" t="n">
        <v>4</v>
      </c>
      <c r="D207" s="160" t="n">
        <v>2</v>
      </c>
      <c r="E207" s="160" t="s">
        <v>685</v>
      </c>
      <c r="F207" s="160" t="s">
        <v>480</v>
      </c>
      <c r="G207" s="164" t="s">
        <v>528</v>
      </c>
      <c r="H207" s="165" t="n">
        <v>0.3</v>
      </c>
      <c r="I207" s="162" t="n">
        <v>2.4</v>
      </c>
      <c r="J207" s="162" t="n">
        <v>4.5</v>
      </c>
      <c r="K207" s="162" t="n">
        <v>8.4</v>
      </c>
      <c r="L207" s="165" t="s">
        <v>529</v>
      </c>
      <c r="M207" s="117" t="n"/>
      <c r="N207" s="117" t="n"/>
      <c r="O207" s="117" t="n"/>
    </row>
    <row r="208" ht="14" customHeight="1">
      <c r="A208" s="160" t="s">
        <v>179</v>
      </c>
      <c r="B208" s="160" t="s">
        <v>180</v>
      </c>
      <c r="C208" s="160" t="n">
        <v>4</v>
      </c>
      <c r="D208" s="160" t="n">
        <v>3</v>
      </c>
      <c r="E208" s="160" t="s">
        <v>686</v>
      </c>
      <c r="F208" s="160" t="s">
        <v>484</v>
      </c>
      <c r="G208" s="149" t="s">
        <v>481</v>
      </c>
      <c r="H208" s="165" t="n">
        <v>0.6</v>
      </c>
      <c r="I208" s="162" t="n">
        <v>3</v>
      </c>
      <c r="J208" s="162" t="n">
        <v>6</v>
      </c>
      <c r="K208" s="162" t="n">
        <v>12</v>
      </c>
      <c r="L208" s="165" t="s">
        <v>531</v>
      </c>
      <c r="M208" s="117" t="n"/>
      <c r="N208" s="117" t="n"/>
      <c r="O208" s="117" t="n"/>
    </row>
    <row r="209" ht="14" customHeight="1">
      <c r="A209" s="160" t="s">
        <v>179</v>
      </c>
      <c r="B209" s="160" t="s">
        <v>180</v>
      </c>
      <c r="C209" s="160" t="n">
        <v>4</v>
      </c>
      <c r="D209" s="160" t="n">
        <v>4</v>
      </c>
      <c r="E209" s="160" t="s">
        <v>687</v>
      </c>
      <c r="F209" s="160" t="s">
        <v>487</v>
      </c>
      <c r="G209" s="149" t="s">
        <v>481</v>
      </c>
      <c r="H209" s="165" t="n">
        <v>0.6</v>
      </c>
      <c r="I209" s="162" t="n">
        <v>4.8</v>
      </c>
      <c r="J209" s="162" t="n">
        <v>10.8</v>
      </c>
      <c r="K209" s="162" t="n">
        <v>21</v>
      </c>
      <c r="L209" s="165" t="s">
        <v>533</v>
      </c>
      <c r="M209" s="117" t="n"/>
      <c r="N209" s="117" t="n"/>
      <c r="O209" s="117" t="n"/>
    </row>
    <row r="210" ht="14" customHeight="1">
      <c r="A210" s="160" t="s">
        <v>179</v>
      </c>
      <c r="B210" s="160" t="s">
        <v>180</v>
      </c>
      <c r="C210" s="160" t="n">
        <v>4</v>
      </c>
      <c r="D210" s="160" t="n">
        <v>5</v>
      </c>
      <c r="E210" s="160" t="s">
        <v>688</v>
      </c>
      <c r="F210" s="160" t="s">
        <v>490</v>
      </c>
      <c r="G210" s="149" t="s">
        <v>481</v>
      </c>
      <c r="H210" s="165" t="n">
        <v>0.6</v>
      </c>
      <c r="I210" s="162" t="n">
        <v>3.6</v>
      </c>
      <c r="J210" s="162" t="n">
        <v>7.2</v>
      </c>
      <c r="K210" s="162" t="n">
        <v>13.2</v>
      </c>
      <c r="L210" s="165" t="s">
        <v>565</v>
      </c>
      <c r="M210" s="117" t="n"/>
      <c r="N210" s="117" t="n"/>
      <c r="O210" s="117" t="n"/>
    </row>
    <row r="211" ht="14" customHeight="1">
      <c r="A211" s="160" t="s">
        <v>179</v>
      </c>
      <c r="B211" s="160" t="s">
        <v>180</v>
      </c>
      <c r="C211" s="160" t="n">
        <v>4</v>
      </c>
      <c r="D211" s="160" t="n">
        <v>6</v>
      </c>
      <c r="E211" s="160" t="s">
        <v>689</v>
      </c>
      <c r="F211" s="160" t="s">
        <v>493</v>
      </c>
      <c r="G211" s="146" t="s">
        <v>477</v>
      </c>
      <c r="H211" s="165" t="n">
        <v>1</v>
      </c>
      <c r="I211" s="162" t="n">
        <v>8</v>
      </c>
      <c r="J211" s="162" t="n">
        <v>16</v>
      </c>
      <c r="K211" s="162" t="n">
        <v>30</v>
      </c>
      <c r="L211" s="165" t="s">
        <v>494</v>
      </c>
      <c r="M211" s="117" t="n"/>
      <c r="N211" s="117" t="n"/>
      <c r="O211" s="117" t="n"/>
    </row>
    <row r="212" ht="14" customHeight="1">
      <c r="A212" s="160" t="s">
        <v>179</v>
      </c>
      <c r="B212" s="160" t="s">
        <v>180</v>
      </c>
      <c r="C212" s="160" t="n">
        <v>4</v>
      </c>
      <c r="D212" s="160" t="n">
        <v>7</v>
      </c>
      <c r="E212" s="160" t="s">
        <v>690</v>
      </c>
      <c r="F212" s="160" t="s">
        <v>510</v>
      </c>
      <c r="G212" s="146" t="s">
        <v>477</v>
      </c>
      <c r="H212" s="165" t="n">
        <v>1</v>
      </c>
      <c r="I212" s="162" t="n">
        <v>4</v>
      </c>
      <c r="J212" s="162" t="n">
        <v>8</v>
      </c>
      <c r="K212" s="162" t="n">
        <v>15</v>
      </c>
      <c r="L212" s="165" t="s">
        <v>511</v>
      </c>
      <c r="M212" s="117" t="n"/>
      <c r="N212" s="117" t="n"/>
      <c r="O212" s="117" t="n"/>
    </row>
    <row r="213" ht="14" customHeight="1">
      <c r="A213" s="160" t="s">
        <v>179</v>
      </c>
      <c r="B213" s="160" t="s">
        <v>180</v>
      </c>
      <c r="C213" s="160" t="n">
        <v>4</v>
      </c>
      <c r="D213" s="160" t="n">
        <v>8</v>
      </c>
      <c r="E213" s="160" t="s">
        <v>691</v>
      </c>
      <c r="F213" s="160" t="s">
        <v>496</v>
      </c>
      <c r="G213" s="146" t="s">
        <v>477</v>
      </c>
      <c r="H213" s="165" t="n">
        <v>1</v>
      </c>
      <c r="I213" s="162" t="n">
        <v>10</v>
      </c>
      <c r="J213" s="162" t="n">
        <v>20</v>
      </c>
      <c r="K213" s="162" t="n">
        <v>40</v>
      </c>
      <c r="L213" s="165" t="s">
        <v>497</v>
      </c>
      <c r="M213" s="117" t="n"/>
      <c r="N213" s="117" t="n"/>
      <c r="O213" s="117" t="n"/>
    </row>
    <row r="214" ht="14" customHeight="1">
      <c r="A214" s="160" t="s">
        <v>179</v>
      </c>
      <c r="B214" s="160" t="s">
        <v>180</v>
      </c>
      <c r="C214" s="160" t="n">
        <v>4</v>
      </c>
      <c r="D214" s="160" t="n">
        <v>9</v>
      </c>
      <c r="E214" s="160" t="s">
        <v>652</v>
      </c>
      <c r="F214" s="160" t="s">
        <v>499</v>
      </c>
      <c r="G214" s="146" t="s">
        <v>477</v>
      </c>
      <c r="H214" s="165" t="n">
        <v>1</v>
      </c>
      <c r="I214" s="162" t="n">
        <v>8</v>
      </c>
      <c r="J214" s="162" t="n">
        <v>15</v>
      </c>
      <c r="K214" s="162" t="n">
        <v>28</v>
      </c>
      <c r="L214" s="165" t="s">
        <v>500</v>
      </c>
      <c r="M214" s="118" t="n"/>
      <c r="N214" s="118" t="n"/>
      <c r="O214" s="118" t="n"/>
    </row>
    <row r="215" ht="14" customHeight="1">
      <c r="A215" s="160" t="s">
        <v>179</v>
      </c>
      <c r="B215" s="160" t="s">
        <v>180</v>
      </c>
      <c r="C215" s="160" t="n">
        <v>4</v>
      </c>
      <c r="D215" s="160" t="n">
        <v>10</v>
      </c>
      <c r="E215" s="160" t="s">
        <v>501</v>
      </c>
      <c r="F215" s="160" t="s">
        <v>502</v>
      </c>
      <c r="G215" s="146" t="s">
        <v>477</v>
      </c>
      <c r="H215" s="165" t="n">
        <v>1</v>
      </c>
      <c r="I215" s="162" t="n">
        <v>3</v>
      </c>
      <c r="J215" s="162" t="n">
        <v>6</v>
      </c>
      <c r="K215" s="162" t="n">
        <v>12</v>
      </c>
      <c r="L215" s="165" t="s">
        <v>503</v>
      </c>
      <c r="M215" s="120" t="n"/>
      <c r="N215" s="120" t="n"/>
      <c r="O215" s="120" t="n"/>
    </row>
    <row r="216" ht="14" customHeight="1">
      <c r="A216" s="152">
        <is>
          <t xml:space="preserve">  ↳ ACT-LIST-01 L2 total</t>
        </is>
      </c>
      <c r="B216" s="152" t="n"/>
      <c r="C216" s="152" t="n"/>
      <c r="D216" s="152" t="n"/>
      <c r="E216" s="152" t="n"/>
      <c r="F216" s="152" t="n"/>
      <c r="G216" s="152" t="n"/>
      <c r="H216" s="166" t="n"/>
      <c r="I216" s="154" t="n">
        <v>51.8</v>
      </c>
      <c r="J216" s="154" t="n">
        <v>101.5</v>
      </c>
      <c r="K216" s="154" t="n">
        <v>194.6</v>
      </c>
      <c r="L216" s="166" t="s">
        <v>692</v>
      </c>
      <c r="M216" s="120" t="n"/>
      <c r="N216" s="120" t="n"/>
      <c r="O216" s="120" t="n"/>
    </row>
    <row r="217" ht="14" customHeight="1">
      <c r="A217" s="145" t="s">
        <v>184</v>
      </c>
      <c r="B217" s="145" t="s">
        <v>185</v>
      </c>
      <c r="C217" s="145" t="n">
        <v>4</v>
      </c>
      <c r="D217" s="145" t="n">
        <v>1</v>
      </c>
      <c r="E217" s="145" t="s">
        <v>693</v>
      </c>
      <c r="F217" s="145" t="s">
        <v>476</v>
      </c>
      <c r="G217" s="146" t="s">
        <v>477</v>
      </c>
      <c r="H217" s="147" t="n">
        <v>1</v>
      </c>
      <c r="I217" s="148" t="n">
        <v>5</v>
      </c>
      <c r="J217" s="148" t="n">
        <v>8</v>
      </c>
      <c r="K217" s="148" t="n">
        <v>15</v>
      </c>
      <c r="L217" s="147" t="s">
        <v>478</v>
      </c>
      <c r="M217" s="120" t="n"/>
      <c r="N217" s="120" t="n"/>
      <c r="O217" s="120" t="n"/>
    </row>
    <row r="218" ht="14" customHeight="1">
      <c r="A218" s="145" t="s">
        <v>184</v>
      </c>
      <c r="B218" s="145" t="s">
        <v>185</v>
      </c>
      <c r="C218" s="145" t="n">
        <v>4</v>
      </c>
      <c r="D218" s="145" t="n">
        <v>2</v>
      </c>
      <c r="E218" s="145" t="s">
        <v>694</v>
      </c>
      <c r="F218" s="145" t="s">
        <v>484</v>
      </c>
      <c r="G218" s="149" t="s">
        <v>481</v>
      </c>
      <c r="H218" s="147" t="n">
        <v>0.6</v>
      </c>
      <c r="I218" s="148" t="n">
        <v>3</v>
      </c>
      <c r="J218" s="148" t="n">
        <v>6</v>
      </c>
      <c r="K218" s="148" t="n">
        <v>12</v>
      </c>
      <c r="L218" s="147" t="s">
        <v>531</v>
      </c>
      <c r="M218" s="120" t="n"/>
      <c r="N218" s="120" t="n"/>
      <c r="O218" s="120" t="n"/>
    </row>
    <row r="219" ht="14" customHeight="1">
      <c r="A219" s="145" t="s">
        <v>184</v>
      </c>
      <c r="B219" s="145" t="s">
        <v>185</v>
      </c>
      <c r="C219" s="145" t="n">
        <v>4</v>
      </c>
      <c r="D219" s="145" t="n">
        <v>3</v>
      </c>
      <c r="E219" s="145" t="s">
        <v>695</v>
      </c>
      <c r="F219" s="145" t="s">
        <v>487</v>
      </c>
      <c r="G219" s="149" t="s">
        <v>481</v>
      </c>
      <c r="H219" s="147" t="n">
        <v>0.6</v>
      </c>
      <c r="I219" s="148" t="n">
        <v>4.8</v>
      </c>
      <c r="J219" s="148" t="n">
        <v>10.8</v>
      </c>
      <c r="K219" s="148" t="n">
        <v>21</v>
      </c>
      <c r="L219" s="147" t="s">
        <v>533</v>
      </c>
      <c r="M219" s="120" t="n"/>
      <c r="N219" s="120" t="n"/>
      <c r="O219" s="120" t="n"/>
    </row>
    <row r="220" ht="14" customHeight="1">
      <c r="A220" s="145" t="s">
        <v>184</v>
      </c>
      <c r="B220" s="145" t="s">
        <v>185</v>
      </c>
      <c r="C220" s="145" t="n">
        <v>4</v>
      </c>
      <c r="D220" s="145" t="n">
        <v>4</v>
      </c>
      <c r="E220" s="145" t="s">
        <v>696</v>
      </c>
      <c r="F220" s="145" t="s">
        <v>490</v>
      </c>
      <c r="G220" s="149" t="s">
        <v>481</v>
      </c>
      <c r="H220" s="147" t="n">
        <v>0.6</v>
      </c>
      <c r="I220" s="148" t="n">
        <v>3.6</v>
      </c>
      <c r="J220" s="148" t="n">
        <v>7.2</v>
      </c>
      <c r="K220" s="148" t="n">
        <v>13.2</v>
      </c>
      <c r="L220" s="147" t="s">
        <v>565</v>
      </c>
      <c r="M220" s="120" t="n"/>
      <c r="N220" s="120" t="n"/>
      <c r="O220" s="120" t="n"/>
    </row>
    <row r="221" ht="14" customHeight="1">
      <c r="A221" s="145" t="s">
        <v>184</v>
      </c>
      <c r="B221" s="145" t="s">
        <v>185</v>
      </c>
      <c r="C221" s="145" t="n">
        <v>4</v>
      </c>
      <c r="D221" s="145" t="n">
        <v>5</v>
      </c>
      <c r="E221" s="145" t="s">
        <v>697</v>
      </c>
      <c r="F221" s="145" t="s">
        <v>493</v>
      </c>
      <c r="G221" s="149" t="s">
        <v>481</v>
      </c>
      <c r="H221" s="147" t="n">
        <v>0.6</v>
      </c>
      <c r="I221" s="148" t="n">
        <v>4.8</v>
      </c>
      <c r="J221" s="148" t="n">
        <v>9.6</v>
      </c>
      <c r="K221" s="148" t="n">
        <v>18</v>
      </c>
      <c r="L221" s="147" t="s">
        <v>576</v>
      </c>
      <c r="M221" s="120" t="n"/>
      <c r="N221" s="120" t="n"/>
      <c r="O221" s="120" t="n"/>
    </row>
    <row r="222" ht="14" customHeight="1">
      <c r="A222" s="145" t="s">
        <v>184</v>
      </c>
      <c r="B222" s="145" t="s">
        <v>185</v>
      </c>
      <c r="C222" s="145" t="n">
        <v>4</v>
      </c>
      <c r="D222" s="145" t="n">
        <v>6</v>
      </c>
      <c r="E222" s="145" t="s">
        <v>698</v>
      </c>
      <c r="F222" s="145" t="s">
        <v>496</v>
      </c>
      <c r="G222" s="146" t="s">
        <v>477</v>
      </c>
      <c r="H222" s="147" t="n">
        <v>1</v>
      </c>
      <c r="I222" s="148" t="n">
        <v>10</v>
      </c>
      <c r="J222" s="148" t="n">
        <v>20</v>
      </c>
      <c r="K222" s="148" t="n">
        <v>40</v>
      </c>
      <c r="L222" s="147" t="s">
        <v>497</v>
      </c>
      <c r="M222" s="120" t="n"/>
      <c r="N222" s="120" t="n"/>
      <c r="O222" s="120" t="n"/>
    </row>
    <row r="223" ht="14" customHeight="1">
      <c r="A223" s="145" t="s">
        <v>184</v>
      </c>
      <c r="B223" s="145" t="s">
        <v>185</v>
      </c>
      <c r="C223" s="145" t="n">
        <v>4</v>
      </c>
      <c r="D223" s="145" t="n">
        <v>7</v>
      </c>
      <c r="E223" s="145" t="s">
        <v>661</v>
      </c>
      <c r="F223" s="145" t="s">
        <v>499</v>
      </c>
      <c r="G223" s="146" t="s">
        <v>477</v>
      </c>
      <c r="H223" s="147" t="n">
        <v>1</v>
      </c>
      <c r="I223" s="148" t="n">
        <v>8</v>
      </c>
      <c r="J223" s="148" t="n">
        <v>15</v>
      </c>
      <c r="K223" s="148" t="n">
        <v>28</v>
      </c>
      <c r="L223" s="147" t="s">
        <v>500</v>
      </c>
      <c r="M223" s="120" t="n"/>
      <c r="N223" s="120" t="n"/>
      <c r="O223" s="120" t="n"/>
    </row>
    <row r="224" ht="14" customHeight="1">
      <c r="A224" s="145" t="s">
        <v>184</v>
      </c>
      <c r="B224" s="145" t="s">
        <v>185</v>
      </c>
      <c r="C224" s="145" t="n">
        <v>4</v>
      </c>
      <c r="D224" s="145" t="n">
        <v>8</v>
      </c>
      <c r="E224" s="145" t="s">
        <v>501</v>
      </c>
      <c r="F224" s="145" t="s">
        <v>502</v>
      </c>
      <c r="G224" s="146" t="s">
        <v>477</v>
      </c>
      <c r="H224" s="147" t="n">
        <v>1</v>
      </c>
      <c r="I224" s="148" t="n">
        <v>3</v>
      </c>
      <c r="J224" s="148" t="n">
        <v>6</v>
      </c>
      <c r="K224" s="148" t="n">
        <v>12</v>
      </c>
      <c r="L224" s="147" t="s">
        <v>503</v>
      </c>
      <c r="M224" s="120" t="n"/>
      <c r="N224" s="120" t="n"/>
      <c r="O224" s="120" t="n"/>
    </row>
    <row r="225" ht="14" customHeight="1">
      <c r="A225" s="167">
        <is>
          <t xml:space="preserve">  ↳ ACT-CREATE-01 L2 total</t>
        </is>
      </c>
      <c r="B225" s="167" t="n"/>
      <c r="C225" s="167" t="n"/>
      <c r="D225" s="167" t="n"/>
      <c r="E225" s="167" t="n"/>
      <c r="F225" s="167" t="n"/>
      <c r="G225" s="167" t="n"/>
      <c r="H225" s="167" t="n"/>
      <c r="I225" s="168" t="n">
        <v>42.2</v>
      </c>
      <c r="J225" s="168" t="n">
        <v>82.59999999999999</v>
      </c>
      <c r="K225" s="168" t="n">
        <v>159.2</v>
      </c>
      <c r="L225" s="167" t="s">
        <v>699</v>
      </c>
      <c r="M225" s="118" t="n"/>
      <c r="N225" s="118" t="n"/>
      <c r="O225" s="118" t="n"/>
    </row>
    <row r="226" ht="14" customHeight="1">
      <c r="A226" s="145" t="s">
        <v>188</v>
      </c>
      <c r="B226" s="145" t="s">
        <v>189</v>
      </c>
      <c r="C226" s="145" t="n">
        <v>4</v>
      </c>
      <c r="D226" s="145" t="n">
        <v>1</v>
      </c>
      <c r="E226" s="145" t="s">
        <v>700</v>
      </c>
      <c r="F226" s="145" t="s">
        <v>476</v>
      </c>
      <c r="G226" s="146" t="s">
        <v>477</v>
      </c>
      <c r="H226" s="147" t="n">
        <v>1</v>
      </c>
      <c r="I226" s="148" t="n">
        <v>5</v>
      </c>
      <c r="J226" s="148" t="n">
        <v>8</v>
      </c>
      <c r="K226" s="148" t="n">
        <v>15</v>
      </c>
      <c r="L226" s="147" t="s">
        <v>478</v>
      </c>
      <c r="M226" s="117" t="n"/>
      <c r="N226" s="117" t="n"/>
      <c r="O226" s="117" t="n"/>
    </row>
    <row r="227" ht="14" customHeight="1">
      <c r="A227" s="145" t="s">
        <v>188</v>
      </c>
      <c r="B227" s="145" t="s">
        <v>189</v>
      </c>
      <c r="C227" s="145" t="n">
        <v>4</v>
      </c>
      <c r="D227" s="145" t="n">
        <v>2</v>
      </c>
      <c r="E227" s="145" t="s">
        <v>701</v>
      </c>
      <c r="F227" s="145" t="s">
        <v>484</v>
      </c>
      <c r="G227" s="149" t="s">
        <v>481</v>
      </c>
      <c r="H227" s="147" t="n">
        <v>0.6</v>
      </c>
      <c r="I227" s="148" t="n">
        <v>3</v>
      </c>
      <c r="J227" s="148" t="n">
        <v>6</v>
      </c>
      <c r="K227" s="148" t="n">
        <v>12</v>
      </c>
      <c r="L227" s="147" t="s">
        <v>531</v>
      </c>
      <c r="M227" s="117" t="n"/>
      <c r="N227" s="117" t="n"/>
      <c r="O227" s="117" t="n"/>
    </row>
    <row r="228" ht="14" customHeight="1">
      <c r="A228" s="145" t="s">
        <v>188</v>
      </c>
      <c r="B228" s="145" t="s">
        <v>189</v>
      </c>
      <c r="C228" s="145" t="n">
        <v>4</v>
      </c>
      <c r="D228" s="145" t="n">
        <v>3</v>
      </c>
      <c r="E228" s="145" t="s">
        <v>702</v>
      </c>
      <c r="F228" s="145" t="s">
        <v>487</v>
      </c>
      <c r="G228" s="149" t="s">
        <v>481</v>
      </c>
      <c r="H228" s="147" t="n">
        <v>0.6</v>
      </c>
      <c r="I228" s="148" t="n">
        <v>4.8</v>
      </c>
      <c r="J228" s="148" t="n">
        <v>10.8</v>
      </c>
      <c r="K228" s="148" t="n">
        <v>21</v>
      </c>
      <c r="L228" s="147" t="s">
        <v>533</v>
      </c>
      <c r="M228" s="117" t="n"/>
      <c r="N228" s="117" t="n"/>
      <c r="O228" s="117" t="n"/>
    </row>
    <row r="229" ht="14" customHeight="1">
      <c r="A229" s="145" t="s">
        <v>188</v>
      </c>
      <c r="B229" s="145" t="s">
        <v>189</v>
      </c>
      <c r="C229" s="145" t="n">
        <v>4</v>
      </c>
      <c r="D229" s="145" t="n">
        <v>4</v>
      </c>
      <c r="E229" s="145" t="s">
        <v>703</v>
      </c>
      <c r="F229" s="145" t="s">
        <v>490</v>
      </c>
      <c r="G229" s="149" t="s">
        <v>481</v>
      </c>
      <c r="H229" s="147" t="n">
        <v>0.6</v>
      </c>
      <c r="I229" s="148" t="n">
        <v>3.6</v>
      </c>
      <c r="J229" s="148" t="n">
        <v>7.2</v>
      </c>
      <c r="K229" s="148" t="n">
        <v>13.2</v>
      </c>
      <c r="L229" s="147" t="s">
        <v>565</v>
      </c>
      <c r="M229" s="117" t="n"/>
      <c r="N229" s="117" t="n"/>
      <c r="O229" s="117" t="n"/>
    </row>
    <row r="230" ht="14" customHeight="1">
      <c r="A230" s="145" t="s">
        <v>188</v>
      </c>
      <c r="B230" s="145" t="s">
        <v>189</v>
      </c>
      <c r="C230" s="145" t="n">
        <v>4</v>
      </c>
      <c r="D230" s="145" t="n">
        <v>5</v>
      </c>
      <c r="E230" s="145" t="s">
        <v>704</v>
      </c>
      <c r="F230" s="145" t="s">
        <v>493</v>
      </c>
      <c r="G230" s="149" t="s">
        <v>481</v>
      </c>
      <c r="H230" s="147" t="n">
        <v>0.6</v>
      </c>
      <c r="I230" s="148" t="n">
        <v>4.8</v>
      </c>
      <c r="J230" s="148" t="n">
        <v>9.6</v>
      </c>
      <c r="K230" s="148" t="n">
        <v>18</v>
      </c>
      <c r="L230" s="147" t="s">
        <v>576</v>
      </c>
      <c r="M230" s="117" t="n"/>
      <c r="N230" s="117" t="n"/>
      <c r="O230" s="117" t="n"/>
    </row>
    <row r="231" ht="14" customHeight="1">
      <c r="A231" s="145" t="s">
        <v>188</v>
      </c>
      <c r="B231" s="145" t="s">
        <v>189</v>
      </c>
      <c r="C231" s="145" t="n">
        <v>4</v>
      </c>
      <c r="D231" s="145" t="n">
        <v>6</v>
      </c>
      <c r="E231" s="145" t="s">
        <v>705</v>
      </c>
      <c r="F231" s="145" t="s">
        <v>496</v>
      </c>
      <c r="G231" s="146" t="s">
        <v>477</v>
      </c>
      <c r="H231" s="147" t="n">
        <v>1</v>
      </c>
      <c r="I231" s="148" t="n">
        <v>10</v>
      </c>
      <c r="J231" s="148" t="n">
        <v>20</v>
      </c>
      <c r="K231" s="148" t="n">
        <v>40</v>
      </c>
      <c r="L231" s="147" t="s">
        <v>497</v>
      </c>
      <c r="M231" s="117" t="n"/>
      <c r="N231" s="117" t="n"/>
      <c r="O231" s="117" t="n"/>
    </row>
    <row r="232" ht="14" customHeight="1">
      <c r="A232" s="145" t="s">
        <v>188</v>
      </c>
      <c r="B232" s="145" t="s">
        <v>189</v>
      </c>
      <c r="C232" s="145" t="n">
        <v>4</v>
      </c>
      <c r="D232" s="145" t="n">
        <v>7</v>
      </c>
      <c r="E232" s="145" t="s">
        <v>668</v>
      </c>
      <c r="F232" s="145" t="s">
        <v>499</v>
      </c>
      <c r="G232" s="146" t="s">
        <v>477</v>
      </c>
      <c r="H232" s="147" t="n">
        <v>1</v>
      </c>
      <c r="I232" s="148" t="n">
        <v>8</v>
      </c>
      <c r="J232" s="148" t="n">
        <v>15</v>
      </c>
      <c r="K232" s="148" t="n">
        <v>28</v>
      </c>
      <c r="L232" s="147" t="s">
        <v>500</v>
      </c>
      <c r="M232" s="117" t="n"/>
      <c r="N232" s="117" t="n"/>
      <c r="O232" s="117" t="n"/>
    </row>
    <row r="233" ht="14" customHeight="1">
      <c r="A233" s="145" t="s">
        <v>188</v>
      </c>
      <c r="B233" s="145" t="s">
        <v>189</v>
      </c>
      <c r="C233" s="145" t="n">
        <v>4</v>
      </c>
      <c r="D233" s="145" t="n">
        <v>8</v>
      </c>
      <c r="E233" s="145" t="s">
        <v>501</v>
      </c>
      <c r="F233" s="145" t="s">
        <v>502</v>
      </c>
      <c r="G233" s="146" t="s">
        <v>477</v>
      </c>
      <c r="H233" s="147" t="n">
        <v>1</v>
      </c>
      <c r="I233" s="148" t="n">
        <v>3</v>
      </c>
      <c r="J233" s="148" t="n">
        <v>6</v>
      </c>
      <c r="K233" s="148" t="n">
        <v>12</v>
      </c>
      <c r="L233" s="147" t="s">
        <v>503</v>
      </c>
      <c r="M233" s="118" t="n"/>
      <c r="N233" s="118" t="n"/>
      <c r="O233" s="118" t="n"/>
    </row>
    <row r="234" ht="14" customHeight="1">
      <c r="A234" s="152">
        <is>
          <t xml:space="preserve">  ↳ ACT-VIEW-01 L2 total</t>
        </is>
      </c>
      <c r="B234" s="152" t="n"/>
      <c r="C234" s="152" t="n"/>
      <c r="D234" s="152" t="n"/>
      <c r="E234" s="152" t="n"/>
      <c r="F234" s="152" t="n"/>
      <c r="G234" s="152" t="n"/>
      <c r="H234" s="166" t="n"/>
      <c r="I234" s="154" t="n">
        <v>42.2</v>
      </c>
      <c r="J234" s="154" t="n">
        <v>82.59999999999999</v>
      </c>
      <c r="K234" s="154" t="n">
        <v>159.2</v>
      </c>
      <c r="L234" s="166" t="s">
        <v>699</v>
      </c>
      <c r="M234" s="117" t="n"/>
      <c r="N234" s="117" t="n"/>
      <c r="O234" s="117" t="n"/>
    </row>
    <row r="235" ht="14" customHeight="1">
      <c r="A235" s="156" t="s">
        <v>192</v>
      </c>
      <c r="B235" s="156" t="s">
        <v>193</v>
      </c>
      <c r="C235" s="156" t="n">
        <v>4</v>
      </c>
      <c r="D235" s="156" t="n">
        <v>1</v>
      </c>
      <c r="E235" s="156" t="s">
        <v>706</v>
      </c>
      <c r="F235" s="156" t="s">
        <v>476</v>
      </c>
      <c r="G235" s="146" t="s">
        <v>477</v>
      </c>
      <c r="H235" s="169" t="n">
        <v>1</v>
      </c>
      <c r="I235" s="158" t="n">
        <v>5</v>
      </c>
      <c r="J235" s="158" t="n">
        <v>8</v>
      </c>
      <c r="K235" s="158" t="n">
        <v>15</v>
      </c>
      <c r="L235" s="169" t="s">
        <v>478</v>
      </c>
      <c r="M235" s="117" t="n"/>
      <c r="N235" s="117" t="n"/>
      <c r="O235" s="117" t="n"/>
    </row>
    <row r="236" ht="14" customHeight="1">
      <c r="A236" s="156" t="s">
        <v>192</v>
      </c>
      <c r="B236" s="156" t="s">
        <v>193</v>
      </c>
      <c r="C236" s="156" t="n">
        <v>4</v>
      </c>
      <c r="D236" s="156" t="n">
        <v>2</v>
      </c>
      <c r="E236" s="156" t="s">
        <v>707</v>
      </c>
      <c r="F236" s="156" t="s">
        <v>484</v>
      </c>
      <c r="G236" s="164" t="s">
        <v>528</v>
      </c>
      <c r="H236" s="169" t="n">
        <v>0.3</v>
      </c>
      <c r="I236" s="158" t="n">
        <v>1.5</v>
      </c>
      <c r="J236" s="158" t="n">
        <v>3</v>
      </c>
      <c r="K236" s="158" t="n">
        <v>6</v>
      </c>
      <c r="L236" s="169" t="s">
        <v>545</v>
      </c>
      <c r="M236" s="117" t="n"/>
      <c r="N236" s="117" t="n"/>
      <c r="O236" s="117" t="n"/>
    </row>
    <row r="237" ht="14" customHeight="1">
      <c r="A237" s="156" t="s">
        <v>192</v>
      </c>
      <c r="B237" s="156" t="s">
        <v>193</v>
      </c>
      <c r="C237" s="156" t="n">
        <v>4</v>
      </c>
      <c r="D237" s="156" t="n">
        <v>3</v>
      </c>
      <c r="E237" s="156" t="s">
        <v>708</v>
      </c>
      <c r="F237" s="156" t="s">
        <v>487</v>
      </c>
      <c r="G237" s="164" t="s">
        <v>528</v>
      </c>
      <c r="H237" s="169" t="n">
        <v>0.3</v>
      </c>
      <c r="I237" s="158" t="n">
        <v>2.4</v>
      </c>
      <c r="J237" s="158" t="n">
        <v>5.4</v>
      </c>
      <c r="K237" s="158" t="n">
        <v>10.5</v>
      </c>
      <c r="L237" s="169" t="s">
        <v>547</v>
      </c>
      <c r="M237" s="117" t="n"/>
      <c r="N237" s="117" t="n"/>
      <c r="O237" s="117" t="n"/>
    </row>
    <row r="238" ht="14" customHeight="1">
      <c r="A238" s="156" t="s">
        <v>192</v>
      </c>
      <c r="B238" s="156" t="s">
        <v>193</v>
      </c>
      <c r="C238" s="156" t="n">
        <v>4</v>
      </c>
      <c r="D238" s="156" t="n">
        <v>4</v>
      </c>
      <c r="E238" s="156" t="s">
        <v>709</v>
      </c>
      <c r="F238" s="156" t="s">
        <v>490</v>
      </c>
      <c r="G238" s="164" t="s">
        <v>528</v>
      </c>
      <c r="H238" s="169" t="n">
        <v>0.3</v>
      </c>
      <c r="I238" s="158" t="n">
        <v>1.8</v>
      </c>
      <c r="J238" s="158" t="n">
        <v>3.6</v>
      </c>
      <c r="K238" s="158" t="n">
        <v>6.6</v>
      </c>
      <c r="L238" s="169" t="s">
        <v>549</v>
      </c>
      <c r="M238" s="117" t="n"/>
      <c r="N238" s="117" t="n"/>
      <c r="O238" s="117" t="n"/>
    </row>
    <row r="239" ht="14" customHeight="1">
      <c r="A239" s="156" t="s">
        <v>192</v>
      </c>
      <c r="B239" s="156" t="s">
        <v>193</v>
      </c>
      <c r="C239" s="156" t="n">
        <v>4</v>
      </c>
      <c r="D239" s="156" t="n">
        <v>5</v>
      </c>
      <c r="E239" s="156" t="s">
        <v>710</v>
      </c>
      <c r="F239" s="156" t="s">
        <v>493</v>
      </c>
      <c r="G239" s="164" t="s">
        <v>528</v>
      </c>
      <c r="H239" s="169" t="n">
        <v>0.3</v>
      </c>
      <c r="I239" s="158" t="n">
        <v>2.4</v>
      </c>
      <c r="J239" s="158" t="n">
        <v>4.8</v>
      </c>
      <c r="K239" s="158" t="n">
        <v>9</v>
      </c>
      <c r="L239" s="169" t="s">
        <v>551</v>
      </c>
      <c r="M239" s="117" t="n"/>
      <c r="N239" s="117" t="n"/>
      <c r="O239" s="117" t="n"/>
    </row>
    <row r="240" ht="14" customHeight="1">
      <c r="A240" s="156" t="s">
        <v>192</v>
      </c>
      <c r="B240" s="156" t="s">
        <v>193</v>
      </c>
      <c r="C240" s="156" t="n">
        <v>4</v>
      </c>
      <c r="D240" s="156" t="n">
        <v>6</v>
      </c>
      <c r="E240" s="156" t="s">
        <v>626</v>
      </c>
      <c r="F240" s="156" t="s">
        <v>496</v>
      </c>
      <c r="G240" s="146" t="s">
        <v>477</v>
      </c>
      <c r="H240" s="169" t="n">
        <v>1</v>
      </c>
      <c r="I240" s="158" t="n">
        <v>10</v>
      </c>
      <c r="J240" s="158" t="n">
        <v>20</v>
      </c>
      <c r="K240" s="158" t="n">
        <v>40</v>
      </c>
      <c r="L240" s="169" t="s">
        <v>497</v>
      </c>
      <c r="M240" s="117" t="n"/>
      <c r="N240" s="117" t="n"/>
      <c r="O240" s="117" t="n"/>
    </row>
    <row r="241" ht="14" customHeight="1">
      <c r="A241" s="156" t="s">
        <v>192</v>
      </c>
      <c r="B241" s="156" t="s">
        <v>193</v>
      </c>
      <c r="C241" s="156" t="n">
        <v>4</v>
      </c>
      <c r="D241" s="156" t="n">
        <v>7</v>
      </c>
      <c r="E241" s="156" t="s">
        <v>674</v>
      </c>
      <c r="F241" s="156" t="s">
        <v>499</v>
      </c>
      <c r="G241" s="146" t="s">
        <v>477</v>
      </c>
      <c r="H241" s="169" t="n">
        <v>1</v>
      </c>
      <c r="I241" s="158" t="n">
        <v>8</v>
      </c>
      <c r="J241" s="158" t="n">
        <v>15</v>
      </c>
      <c r="K241" s="158" t="n">
        <v>28</v>
      </c>
      <c r="L241" s="169" t="s">
        <v>500</v>
      </c>
      <c r="M241" s="118" t="n"/>
      <c r="N241" s="118" t="n"/>
      <c r="O241" s="118" t="n"/>
    </row>
    <row r="242" ht="14" customHeight="1">
      <c r="A242" s="156" t="s">
        <v>192</v>
      </c>
      <c r="B242" s="156" t="s">
        <v>193</v>
      </c>
      <c r="C242" s="156" t="n">
        <v>4</v>
      </c>
      <c r="D242" s="156" t="n">
        <v>8</v>
      </c>
      <c r="E242" s="156" t="s">
        <v>501</v>
      </c>
      <c r="F242" s="156" t="s">
        <v>502</v>
      </c>
      <c r="G242" s="146" t="s">
        <v>477</v>
      </c>
      <c r="H242" s="169" t="n">
        <v>1</v>
      </c>
      <c r="I242" s="158" t="n">
        <v>3</v>
      </c>
      <c r="J242" s="158" t="n">
        <v>6</v>
      </c>
      <c r="K242" s="158" t="n">
        <v>12</v>
      </c>
      <c r="L242" s="169" t="s">
        <v>503</v>
      </c>
      <c r="M242" s="103" t="n"/>
      <c r="N242" s="103" t="n"/>
      <c r="O242" s="103" t="n"/>
    </row>
    <row r="243" ht="14" customHeight="1">
      <c r="A243" s="152">
        <is>
          <t xml:space="preserve">  ↳ ACT-EDIT-01 L2 total</t>
        </is>
      </c>
      <c r="B243" s="152" t="n"/>
      <c r="C243" s="152" t="n"/>
      <c r="D243" s="152" t="n"/>
      <c r="E243" s="152" t="n"/>
      <c r="F243" s="152" t="n"/>
      <c r="G243" s="152" t="n"/>
      <c r="H243" s="166" t="n"/>
      <c r="I243" s="154" t="n">
        <v>34.1</v>
      </c>
      <c r="J243" s="154" t="n">
        <v>65.8</v>
      </c>
      <c r="K243" s="154" t="n">
        <v>127.1</v>
      </c>
      <c r="L243" s="166" t="s">
        <v>711</v>
      </c>
      <c r="M243" s="103" t="n"/>
      <c r="N243" s="103" t="n"/>
      <c r="O243" s="103" t="n"/>
    </row>
    <row r="244" ht="14" customHeight="1">
      <c r="A244" s="156" t="s">
        <v>196</v>
      </c>
      <c r="B244" s="156" t="s">
        <v>197</v>
      </c>
      <c r="C244" s="156" t="n">
        <v>4</v>
      </c>
      <c r="D244" s="156" t="n">
        <v>1</v>
      </c>
      <c r="E244" s="156" t="s">
        <v>712</v>
      </c>
      <c r="F244" s="156" t="s">
        <v>476</v>
      </c>
      <c r="G244" s="146" t="s">
        <v>477</v>
      </c>
      <c r="H244" s="169" t="n">
        <v>1</v>
      </c>
      <c r="I244" s="158" t="n">
        <v>5</v>
      </c>
      <c r="J244" s="158" t="n">
        <v>8</v>
      </c>
      <c r="K244" s="158" t="n">
        <v>15</v>
      </c>
      <c r="L244" s="169" t="s">
        <v>478</v>
      </c>
      <c r="M244" s="103" t="n"/>
      <c r="N244" s="103" t="n"/>
      <c r="O244" s="103" t="n"/>
    </row>
    <row r="245" ht="14" customHeight="1">
      <c r="A245" s="156" t="s">
        <v>196</v>
      </c>
      <c r="B245" s="156" t="s">
        <v>197</v>
      </c>
      <c r="C245" s="156" t="n">
        <v>4</v>
      </c>
      <c r="D245" s="156" t="n">
        <v>2</v>
      </c>
      <c r="E245" s="156" t="s">
        <v>713</v>
      </c>
      <c r="F245" s="156" t="s">
        <v>484</v>
      </c>
      <c r="G245" s="164" t="s">
        <v>528</v>
      </c>
      <c r="H245" s="169" t="n">
        <v>0.3</v>
      </c>
      <c r="I245" s="158" t="n">
        <v>1.5</v>
      </c>
      <c r="J245" s="158" t="n">
        <v>3</v>
      </c>
      <c r="K245" s="158" t="n">
        <v>6</v>
      </c>
      <c r="L245" s="169" t="s">
        <v>545</v>
      </c>
      <c r="M245" s="103" t="n"/>
      <c r="N245" s="103" t="n"/>
      <c r="O245" s="103" t="n"/>
    </row>
    <row r="246" ht="14" customHeight="1">
      <c r="A246" s="156" t="s">
        <v>196</v>
      </c>
      <c r="B246" s="156" t="s">
        <v>197</v>
      </c>
      <c r="C246" s="156" t="n">
        <v>4</v>
      </c>
      <c r="D246" s="156" t="n">
        <v>3</v>
      </c>
      <c r="E246" s="156" t="s">
        <v>714</v>
      </c>
      <c r="F246" s="156" t="s">
        <v>487</v>
      </c>
      <c r="G246" s="164" t="s">
        <v>528</v>
      </c>
      <c r="H246" s="169" t="n">
        <v>0.3</v>
      </c>
      <c r="I246" s="158" t="n">
        <v>2.4</v>
      </c>
      <c r="J246" s="158" t="n">
        <v>5.4</v>
      </c>
      <c r="K246" s="158" t="n">
        <v>10.5</v>
      </c>
      <c r="L246" s="169" t="s">
        <v>547</v>
      </c>
      <c r="M246" s="118" t="n"/>
      <c r="N246" s="118" t="n"/>
      <c r="O246" s="118" t="n"/>
    </row>
    <row r="247" ht="14" customHeight="1">
      <c r="A247" s="156" t="s">
        <v>196</v>
      </c>
      <c r="B247" s="156" t="s">
        <v>197</v>
      </c>
      <c r="C247" s="156" t="n">
        <v>4</v>
      </c>
      <c r="D247" s="156" t="n">
        <v>4</v>
      </c>
      <c r="E247" s="156" t="s">
        <v>715</v>
      </c>
      <c r="F247" s="156" t="s">
        <v>490</v>
      </c>
      <c r="G247" s="164" t="s">
        <v>528</v>
      </c>
      <c r="H247" s="169" t="n">
        <v>0.3</v>
      </c>
      <c r="I247" s="158" t="n">
        <v>1.8</v>
      </c>
      <c r="J247" s="158" t="n">
        <v>3.6</v>
      </c>
      <c r="K247" s="158" t="n">
        <v>6.6</v>
      </c>
      <c r="L247" s="169" t="s">
        <v>549</v>
      </c>
      <c r="M247" s="103" t="n"/>
      <c r="N247" s="103" t="n"/>
      <c r="O247" s="103" t="n"/>
    </row>
    <row r="248" ht="14" customHeight="1">
      <c r="A248" s="156" t="s">
        <v>196</v>
      </c>
      <c r="B248" s="156" t="s">
        <v>197</v>
      </c>
      <c r="C248" s="156" t="n">
        <v>4</v>
      </c>
      <c r="D248" s="156" t="n">
        <v>5</v>
      </c>
      <c r="E248" s="156" t="s">
        <v>680</v>
      </c>
      <c r="F248" s="156" t="s">
        <v>493</v>
      </c>
      <c r="G248" s="164" t="s">
        <v>528</v>
      </c>
      <c r="H248" s="169" t="n">
        <v>0.3</v>
      </c>
      <c r="I248" s="158" t="n">
        <v>2.4</v>
      </c>
      <c r="J248" s="158" t="n">
        <v>4.8</v>
      </c>
      <c r="K248" s="158" t="n">
        <v>9</v>
      </c>
      <c r="L248" s="169" t="s">
        <v>551</v>
      </c>
      <c r="M248" s="103" t="n"/>
      <c r="N248" s="103" t="n"/>
      <c r="O248" s="103" t="n"/>
    </row>
    <row r="249" ht="14" customHeight="1">
      <c r="A249" s="156" t="s">
        <v>196</v>
      </c>
      <c r="B249" s="156" t="s">
        <v>197</v>
      </c>
      <c r="C249" s="156" t="n">
        <v>4</v>
      </c>
      <c r="D249" s="156" t="n">
        <v>6</v>
      </c>
      <c r="E249" s="156" t="s">
        <v>716</v>
      </c>
      <c r="F249" s="156" t="s">
        <v>496</v>
      </c>
      <c r="G249" s="146" t="s">
        <v>477</v>
      </c>
      <c r="H249" s="169" t="n">
        <v>1</v>
      </c>
      <c r="I249" s="158" t="n">
        <v>10</v>
      </c>
      <c r="J249" s="158" t="n">
        <v>20</v>
      </c>
      <c r="K249" s="158" t="n">
        <v>40</v>
      </c>
      <c r="L249" s="169" t="s">
        <v>497</v>
      </c>
      <c r="M249" s="103" t="n"/>
      <c r="N249" s="103" t="n"/>
      <c r="O249" s="103" t="n"/>
    </row>
    <row r="250" ht="14" customHeight="1">
      <c r="A250" s="156" t="s">
        <v>196</v>
      </c>
      <c r="B250" s="156" t="s">
        <v>197</v>
      </c>
      <c r="C250" s="156" t="n">
        <v>4</v>
      </c>
      <c r="D250" s="156" t="n">
        <v>7</v>
      </c>
      <c r="E250" s="156" t="s">
        <v>682</v>
      </c>
      <c r="F250" s="156" t="s">
        <v>499</v>
      </c>
      <c r="G250" s="146" t="s">
        <v>477</v>
      </c>
      <c r="H250" s="169" t="n">
        <v>1</v>
      </c>
      <c r="I250" s="158" t="n">
        <v>8</v>
      </c>
      <c r="J250" s="158" t="n">
        <v>15</v>
      </c>
      <c r="K250" s="158" t="n">
        <v>28</v>
      </c>
      <c r="L250" s="169" t="s">
        <v>500</v>
      </c>
      <c r="M250" s="103" t="n"/>
      <c r="N250" s="103" t="n"/>
      <c r="O250" s="103" t="n"/>
    </row>
    <row r="251" ht="14" customHeight="1">
      <c r="A251" s="156" t="s">
        <v>196</v>
      </c>
      <c r="B251" s="156" t="s">
        <v>197</v>
      </c>
      <c r="C251" s="156" t="n">
        <v>4</v>
      </c>
      <c r="D251" s="156" t="n">
        <v>8</v>
      </c>
      <c r="E251" s="156" t="s">
        <v>501</v>
      </c>
      <c r="F251" s="156" t="s">
        <v>502</v>
      </c>
      <c r="G251" s="146" t="s">
        <v>477</v>
      </c>
      <c r="H251" s="169" t="n">
        <v>1</v>
      </c>
      <c r="I251" s="158" t="n">
        <v>3</v>
      </c>
      <c r="J251" s="158" t="n">
        <v>6</v>
      </c>
      <c r="K251" s="158" t="n">
        <v>12</v>
      </c>
      <c r="L251" s="169" t="s">
        <v>503</v>
      </c>
      <c r="M251" s="118" t="n"/>
      <c r="N251" s="118" t="n"/>
      <c r="O251" s="118" t="n"/>
    </row>
    <row r="252" ht="14" customHeight="1">
      <c r="A252" s="152">
        <is>
          <t xml:space="preserve">  ↳ ACT-DELETE-01 L2 total</t>
        </is>
      </c>
      <c r="B252" s="152" t="n"/>
      <c r="C252" s="152" t="n"/>
      <c r="D252" s="152" t="n"/>
      <c r="E252" s="152" t="n"/>
      <c r="F252" s="152" t="n"/>
      <c r="G252" s="152" t="n"/>
      <c r="H252" s="166" t="n"/>
      <c r="I252" s="154" t="n">
        <v>34.1</v>
      </c>
      <c r="J252" s="154" t="n">
        <v>65.8</v>
      </c>
      <c r="K252" s="154" t="n">
        <v>127.1</v>
      </c>
      <c r="L252" s="166" t="s">
        <v>711</v>
      </c>
      <c r="M252" s="113" t="n"/>
      <c r="N252" s="113" t="n"/>
      <c r="O252" s="113" t="n"/>
    </row>
    <row r="253" ht="14" customHeight="1">
      <c r="A253" s="145" t="s">
        <v>200</v>
      </c>
      <c r="B253" s="145" t="s">
        <v>201</v>
      </c>
      <c r="C253" s="145" t="n">
        <v>4</v>
      </c>
      <c r="D253" s="145" t="n">
        <v>1</v>
      </c>
      <c r="E253" s="145" t="s">
        <v>717</v>
      </c>
      <c r="F253" s="145" t="s">
        <v>476</v>
      </c>
      <c r="G253" s="146" t="s">
        <v>477</v>
      </c>
      <c r="H253" s="147" t="n">
        <v>1</v>
      </c>
      <c r="I253" s="148" t="n">
        <v>5</v>
      </c>
      <c r="J253" s="148" t="n">
        <v>8</v>
      </c>
      <c r="K253" s="148" t="n">
        <v>15</v>
      </c>
      <c r="L253" s="147" t="s">
        <v>478</v>
      </c>
      <c r="M253" s="113" t="n"/>
      <c r="N253" s="113" t="n"/>
      <c r="O253" s="113" t="n"/>
    </row>
    <row r="254" ht="14" customHeight="1">
      <c r="A254" s="145" t="s">
        <v>200</v>
      </c>
      <c r="B254" s="145" t="s">
        <v>201</v>
      </c>
      <c r="C254" s="145" t="n">
        <v>4</v>
      </c>
      <c r="D254" s="145" t="n">
        <v>2</v>
      </c>
      <c r="E254" s="145" t="s">
        <v>718</v>
      </c>
      <c r="F254" s="145" t="s">
        <v>480</v>
      </c>
      <c r="G254" s="164" t="s">
        <v>528</v>
      </c>
      <c r="H254" s="147" t="n">
        <v>0.3</v>
      </c>
      <c r="I254" s="148" t="n">
        <v>2.4</v>
      </c>
      <c r="J254" s="148" t="n">
        <v>4.5</v>
      </c>
      <c r="K254" s="148" t="n">
        <v>8.4</v>
      </c>
      <c r="L254" s="147" t="s">
        <v>529</v>
      </c>
      <c r="M254" s="118" t="n"/>
      <c r="N254" s="118" t="n"/>
      <c r="O254" s="118" t="n"/>
    </row>
    <row r="255" ht="14" customHeight="1">
      <c r="A255" s="145" t="s">
        <v>200</v>
      </c>
      <c r="B255" s="145" t="s">
        <v>201</v>
      </c>
      <c r="C255" s="145" t="n">
        <v>4</v>
      </c>
      <c r="D255" s="145" t="n">
        <v>3</v>
      </c>
      <c r="E255" s="145" t="s">
        <v>719</v>
      </c>
      <c r="F255" s="145" t="s">
        <v>484</v>
      </c>
      <c r="G255" s="149" t="s">
        <v>481</v>
      </c>
      <c r="H255" s="147" t="n">
        <v>0.6</v>
      </c>
      <c r="I255" s="148" t="n">
        <v>3</v>
      </c>
      <c r="J255" s="148" t="n">
        <v>6</v>
      </c>
      <c r="K255" s="148" t="n">
        <v>12</v>
      </c>
      <c r="L255" s="147" t="s">
        <v>531</v>
      </c>
      <c r="M255" s="103" t="n"/>
      <c r="N255" s="103" t="n"/>
      <c r="O255" s="103" t="n"/>
    </row>
    <row r="256" ht="14" customHeight="1">
      <c r="A256" s="145" t="s">
        <v>200</v>
      </c>
      <c r="B256" s="145" t="s">
        <v>201</v>
      </c>
      <c r="C256" s="145" t="n">
        <v>4</v>
      </c>
      <c r="D256" s="145" t="n">
        <v>4</v>
      </c>
      <c r="E256" s="145" t="s">
        <v>720</v>
      </c>
      <c r="F256" s="145" t="s">
        <v>487</v>
      </c>
      <c r="G256" s="149" t="s">
        <v>481</v>
      </c>
      <c r="H256" s="147" t="n">
        <v>0.6</v>
      </c>
      <c r="I256" s="148" t="n">
        <v>4.8</v>
      </c>
      <c r="J256" s="148" t="n">
        <v>10.8</v>
      </c>
      <c r="K256" s="148" t="n">
        <v>21</v>
      </c>
      <c r="L256" s="147" t="s">
        <v>533</v>
      </c>
      <c r="M256" s="103" t="n"/>
      <c r="N256" s="103" t="n"/>
      <c r="O256" s="103" t="n"/>
    </row>
    <row r="257" ht="14" customHeight="1">
      <c r="A257" s="145" t="s">
        <v>200</v>
      </c>
      <c r="B257" s="145" t="s">
        <v>201</v>
      </c>
      <c r="C257" s="145" t="n">
        <v>4</v>
      </c>
      <c r="D257" s="145" t="n">
        <v>5</v>
      </c>
      <c r="E257" s="145" t="s">
        <v>721</v>
      </c>
      <c r="F257" s="145" t="s">
        <v>490</v>
      </c>
      <c r="G257" s="149" t="s">
        <v>481</v>
      </c>
      <c r="H257" s="147" t="n">
        <v>0.6</v>
      </c>
      <c r="I257" s="148" t="n">
        <v>3.6</v>
      </c>
      <c r="J257" s="148" t="n">
        <v>7.2</v>
      </c>
      <c r="K257" s="148" t="n">
        <v>13.2</v>
      </c>
      <c r="L257" s="147" t="s">
        <v>565</v>
      </c>
      <c r="M257" s="103" t="n"/>
      <c r="N257" s="103" t="n"/>
      <c r="O257" s="103" t="n"/>
    </row>
    <row r="258" ht="14" customHeight="1">
      <c r="A258" s="145" t="s">
        <v>200</v>
      </c>
      <c r="B258" s="145" t="s">
        <v>201</v>
      </c>
      <c r="C258" s="145" t="n">
        <v>4</v>
      </c>
      <c r="D258" s="145" t="n">
        <v>6</v>
      </c>
      <c r="E258" s="145" t="s">
        <v>722</v>
      </c>
      <c r="F258" s="145" t="s">
        <v>493</v>
      </c>
      <c r="G258" s="149" t="s">
        <v>481</v>
      </c>
      <c r="H258" s="147" t="n">
        <v>0.6</v>
      </c>
      <c r="I258" s="148" t="n">
        <v>4.8</v>
      </c>
      <c r="J258" s="148" t="n">
        <v>9.6</v>
      </c>
      <c r="K258" s="148" t="n">
        <v>18</v>
      </c>
      <c r="L258" s="147" t="s">
        <v>576</v>
      </c>
      <c r="M258" s="103" t="n"/>
      <c r="N258" s="103" t="n"/>
      <c r="O258" s="103" t="n"/>
    </row>
    <row r="259" ht="14" customHeight="1">
      <c r="A259" s="145" t="s">
        <v>200</v>
      </c>
      <c r="B259" s="145" t="s">
        <v>201</v>
      </c>
      <c r="C259" s="145" t="n">
        <v>4</v>
      </c>
      <c r="D259" s="145" t="n">
        <v>7</v>
      </c>
      <c r="E259" s="145" t="s">
        <v>723</v>
      </c>
      <c r="F259" s="145" t="s">
        <v>496</v>
      </c>
      <c r="G259" s="146" t="s">
        <v>477</v>
      </c>
      <c r="H259" s="147" t="n">
        <v>1</v>
      </c>
      <c r="I259" s="148" t="n">
        <v>10</v>
      </c>
      <c r="J259" s="148" t="n">
        <v>20</v>
      </c>
      <c r="K259" s="148" t="n">
        <v>40</v>
      </c>
      <c r="L259" s="147" t="s">
        <v>497</v>
      </c>
      <c r="M259" s="118" t="n"/>
      <c r="N259" s="118" t="n"/>
      <c r="O259" s="118" t="n"/>
    </row>
    <row r="260" ht="14" customHeight="1">
      <c r="A260" s="145" t="s">
        <v>200</v>
      </c>
      <c r="B260" s="145" t="s">
        <v>201</v>
      </c>
      <c r="C260" s="145" t="n">
        <v>4</v>
      </c>
      <c r="D260" s="145" t="n">
        <v>8</v>
      </c>
      <c r="E260" s="145" t="s">
        <v>652</v>
      </c>
      <c r="F260" s="145" t="s">
        <v>499</v>
      </c>
      <c r="G260" s="146" t="s">
        <v>477</v>
      </c>
      <c r="H260" s="147" t="n">
        <v>1</v>
      </c>
      <c r="I260" s="148" t="n">
        <v>8</v>
      </c>
      <c r="J260" s="148" t="n">
        <v>15</v>
      </c>
      <c r="K260" s="148" t="n">
        <v>28</v>
      </c>
      <c r="L260" s="147" t="s">
        <v>500</v>
      </c>
      <c r="M260" s="113" t="n"/>
      <c r="N260" s="113" t="n"/>
      <c r="O260" s="113" t="n"/>
    </row>
    <row r="261" ht="14" customHeight="1">
      <c r="A261" s="145" t="s">
        <v>200</v>
      </c>
      <c r="B261" s="145" t="s">
        <v>201</v>
      </c>
      <c r="C261" s="145" t="n">
        <v>4</v>
      </c>
      <c r="D261" s="145" t="n">
        <v>9</v>
      </c>
      <c r="E261" s="145" t="s">
        <v>501</v>
      </c>
      <c r="F261" s="145" t="s">
        <v>502</v>
      </c>
      <c r="G261" s="146" t="s">
        <v>477</v>
      </c>
      <c r="H261" s="147" t="n">
        <v>1</v>
      </c>
      <c r="I261" s="148" t="n">
        <v>3</v>
      </c>
      <c r="J261" s="148" t="n">
        <v>6</v>
      </c>
      <c r="K261" s="148" t="n">
        <v>12</v>
      </c>
      <c r="L261" s="147" t="s">
        <v>503</v>
      </c>
      <c r="M261" s="113" t="n"/>
      <c r="N261" s="113" t="n"/>
      <c r="O261" s="113" t="n"/>
    </row>
    <row r="262" ht="14" customHeight="1">
      <c r="A262" s="167">
        <is>
          <t xml:space="preserve">  ↳ ART-LIST-01 L2 total</t>
        </is>
      </c>
      <c r="B262" s="167" t="n"/>
      <c r="C262" s="167" t="n"/>
      <c r="D262" s="167" t="n"/>
      <c r="E262" s="167" t="n"/>
      <c r="F262" s="167" t="n"/>
      <c r="G262" s="167" t="n"/>
      <c r="H262" s="167" t="n"/>
      <c r="I262" s="168" t="n">
        <v>44.6</v>
      </c>
      <c r="J262" s="168" t="n">
        <v>87.09999999999999</v>
      </c>
      <c r="K262" s="168" t="n">
        <v>167.6</v>
      </c>
      <c r="L262" s="167" t="s">
        <v>588</v>
      </c>
      <c r="M262" s="118" t="n"/>
      <c r="N262" s="118" t="n"/>
      <c r="O262" s="118" t="n"/>
    </row>
    <row r="263" ht="14" customHeight="1">
      <c r="A263" s="156" t="s">
        <v>205</v>
      </c>
      <c r="B263" s="156" t="s">
        <v>206</v>
      </c>
      <c r="C263" s="156" t="n">
        <v>4</v>
      </c>
      <c r="D263" s="156" t="n">
        <v>1</v>
      </c>
      <c r="E263" s="156" t="s">
        <v>724</v>
      </c>
      <c r="F263" s="156" t="s">
        <v>476</v>
      </c>
      <c r="G263" s="146" t="s">
        <v>477</v>
      </c>
      <c r="H263" s="169" t="n">
        <v>1</v>
      </c>
      <c r="I263" s="158" t="n">
        <v>5</v>
      </c>
      <c r="J263" s="158" t="n">
        <v>8</v>
      </c>
      <c r="K263" s="158" t="n">
        <v>15</v>
      </c>
      <c r="L263" s="169" t="s">
        <v>478</v>
      </c>
      <c r="M263" s="103" t="n"/>
      <c r="N263" s="103" t="n"/>
      <c r="O263" s="103" t="n"/>
    </row>
    <row r="264" ht="14" customHeight="1">
      <c r="A264" s="156" t="s">
        <v>205</v>
      </c>
      <c r="B264" s="156" t="s">
        <v>206</v>
      </c>
      <c r="C264" s="156" t="n">
        <v>4</v>
      </c>
      <c r="D264" s="156" t="n">
        <v>2</v>
      </c>
      <c r="E264" s="156" t="s">
        <v>725</v>
      </c>
      <c r="F264" s="156" t="s">
        <v>484</v>
      </c>
      <c r="G264" s="164" t="s">
        <v>528</v>
      </c>
      <c r="H264" s="169" t="n">
        <v>0.3</v>
      </c>
      <c r="I264" s="158" t="n">
        <v>1.5</v>
      </c>
      <c r="J264" s="158" t="n">
        <v>3</v>
      </c>
      <c r="K264" s="158" t="n">
        <v>6</v>
      </c>
      <c r="L264" s="169" t="s">
        <v>545</v>
      </c>
      <c r="M264" s="103" t="n"/>
      <c r="N264" s="103" t="n"/>
      <c r="O264" s="103" t="n"/>
    </row>
    <row r="265" ht="14" customHeight="1">
      <c r="A265" s="156" t="s">
        <v>205</v>
      </c>
      <c r="B265" s="156" t="s">
        <v>206</v>
      </c>
      <c r="C265" s="156" t="n">
        <v>4</v>
      </c>
      <c r="D265" s="156" t="n">
        <v>3</v>
      </c>
      <c r="E265" s="156" t="s">
        <v>726</v>
      </c>
      <c r="F265" s="156" t="s">
        <v>487</v>
      </c>
      <c r="G265" s="164" t="s">
        <v>528</v>
      </c>
      <c r="H265" s="169" t="n">
        <v>0.3</v>
      </c>
      <c r="I265" s="158" t="n">
        <v>2.4</v>
      </c>
      <c r="J265" s="158" t="n">
        <v>5.4</v>
      </c>
      <c r="K265" s="158" t="n">
        <v>10.5</v>
      </c>
      <c r="L265" s="169" t="s">
        <v>547</v>
      </c>
      <c r="M265" s="103" t="n"/>
      <c r="N265" s="103" t="n"/>
      <c r="O265" s="103" t="n"/>
    </row>
    <row r="266" ht="14" customHeight="1">
      <c r="A266" s="156" t="s">
        <v>205</v>
      </c>
      <c r="B266" s="156" t="s">
        <v>206</v>
      </c>
      <c r="C266" s="156" t="n">
        <v>4</v>
      </c>
      <c r="D266" s="156" t="n">
        <v>4</v>
      </c>
      <c r="E266" s="156" t="s">
        <v>727</v>
      </c>
      <c r="F266" s="156" t="s">
        <v>490</v>
      </c>
      <c r="G266" s="164" t="s">
        <v>528</v>
      </c>
      <c r="H266" s="169" t="n">
        <v>0.3</v>
      </c>
      <c r="I266" s="158" t="n">
        <v>1.8</v>
      </c>
      <c r="J266" s="158" t="n">
        <v>3.6</v>
      </c>
      <c r="K266" s="158" t="n">
        <v>6.6</v>
      </c>
      <c r="L266" s="169" t="s">
        <v>549</v>
      </c>
      <c r="M266" s="103" t="n"/>
      <c r="N266" s="103" t="n"/>
      <c r="O266" s="103" t="n"/>
    </row>
    <row r="267" ht="14" customHeight="1">
      <c r="A267" s="156" t="s">
        <v>205</v>
      </c>
      <c r="B267" s="156" t="s">
        <v>206</v>
      </c>
      <c r="C267" s="156" t="n">
        <v>4</v>
      </c>
      <c r="D267" s="156" t="n">
        <v>5</v>
      </c>
      <c r="E267" s="156" t="s">
        <v>728</v>
      </c>
      <c r="F267" s="156" t="s">
        <v>493</v>
      </c>
      <c r="G267" s="164" t="s">
        <v>528</v>
      </c>
      <c r="H267" s="169" t="n">
        <v>0.3</v>
      </c>
      <c r="I267" s="158" t="n">
        <v>2.4</v>
      </c>
      <c r="J267" s="158" t="n">
        <v>4.8</v>
      </c>
      <c r="K267" s="158" t="n">
        <v>9</v>
      </c>
      <c r="L267" s="169" t="s">
        <v>551</v>
      </c>
      <c r="M267" s="118" t="n"/>
      <c r="N267" s="118" t="n"/>
      <c r="O267" s="118" t="n"/>
    </row>
    <row r="268" ht="14" customHeight="1">
      <c r="A268" s="156" t="s">
        <v>205</v>
      </c>
      <c r="B268" s="156" t="s">
        <v>206</v>
      </c>
      <c r="C268" s="156" t="n">
        <v>4</v>
      </c>
      <c r="D268" s="156" t="n">
        <v>6</v>
      </c>
      <c r="E268" s="156" t="s">
        <v>729</v>
      </c>
      <c r="F268" s="156" t="s">
        <v>496</v>
      </c>
      <c r="G268" s="146" t="s">
        <v>477</v>
      </c>
      <c r="H268" s="169" t="n">
        <v>1</v>
      </c>
      <c r="I268" s="158" t="n">
        <v>10</v>
      </c>
      <c r="J268" s="158" t="n">
        <v>20</v>
      </c>
      <c r="K268" s="158" t="n">
        <v>40</v>
      </c>
      <c r="L268" s="169" t="s">
        <v>497</v>
      </c>
    </row>
    <row r="269" ht="14" customHeight="1">
      <c r="A269" s="156" t="s">
        <v>205</v>
      </c>
      <c r="B269" s="156" t="s">
        <v>206</v>
      </c>
      <c r="C269" s="156" t="n">
        <v>4</v>
      </c>
      <c r="D269" s="156" t="n">
        <v>7</v>
      </c>
      <c r="E269" s="156" t="s">
        <v>661</v>
      </c>
      <c r="F269" s="156" t="s">
        <v>499</v>
      </c>
      <c r="G269" s="146" t="s">
        <v>477</v>
      </c>
      <c r="H269" s="169" t="n">
        <v>1</v>
      </c>
      <c r="I269" s="158" t="n">
        <v>8</v>
      </c>
      <c r="J269" s="158" t="n">
        <v>15</v>
      </c>
      <c r="K269" s="158" t="n">
        <v>28</v>
      </c>
      <c r="L269" s="169" t="s">
        <v>500</v>
      </c>
    </row>
    <row r="270" ht="14" customHeight="1">
      <c r="A270" s="156" t="s">
        <v>205</v>
      </c>
      <c r="B270" s="156" t="s">
        <v>206</v>
      </c>
      <c r="C270" s="156" t="n">
        <v>4</v>
      </c>
      <c r="D270" s="156" t="n">
        <v>8</v>
      </c>
      <c r="E270" s="156" t="s">
        <v>501</v>
      </c>
      <c r="F270" s="156" t="s">
        <v>502</v>
      </c>
      <c r="G270" s="146" t="s">
        <v>477</v>
      </c>
      <c r="H270" s="169" t="n">
        <v>1</v>
      </c>
      <c r="I270" s="158" t="n">
        <v>3</v>
      </c>
      <c r="J270" s="158" t="n">
        <v>6</v>
      </c>
      <c r="K270" s="158" t="n">
        <v>12</v>
      </c>
      <c r="L270" s="169" t="s">
        <v>503</v>
      </c>
    </row>
    <row r="271" ht="14" customHeight="1">
      <c r="A271" s="167">
        <is>
          <t xml:space="preserve">  ↳ ART-CREATE-01 L2 total</t>
        </is>
      </c>
      <c r="B271" s="167" t="n"/>
      <c r="C271" s="167" t="n"/>
      <c r="D271" s="167" t="n"/>
      <c r="E271" s="167" t="n"/>
      <c r="F271" s="167" t="n"/>
      <c r="G271" s="167" t="n"/>
      <c r="H271" s="167" t="n"/>
      <c r="I271" s="168" t="n">
        <v>34.1</v>
      </c>
      <c r="J271" s="168" t="n">
        <v>65.8</v>
      </c>
      <c r="K271" s="168" t="n">
        <v>127.1</v>
      </c>
      <c r="L271" s="167" t="s">
        <v>711</v>
      </c>
    </row>
    <row r="272" ht="14" customHeight="1">
      <c r="A272" s="145" t="s">
        <v>209</v>
      </c>
      <c r="B272" s="145" t="s">
        <v>210</v>
      </c>
      <c r="C272" s="145" t="n">
        <v>4</v>
      </c>
      <c r="D272" s="145" t="n">
        <v>1</v>
      </c>
      <c r="E272" s="145" t="s">
        <v>730</v>
      </c>
      <c r="F272" s="145" t="s">
        <v>476</v>
      </c>
      <c r="G272" s="146" t="s">
        <v>477</v>
      </c>
      <c r="H272" s="147" t="n">
        <v>1</v>
      </c>
      <c r="I272" s="148" t="n">
        <v>5</v>
      </c>
      <c r="J272" s="148" t="n">
        <v>8</v>
      </c>
      <c r="K272" s="148" t="n">
        <v>15</v>
      </c>
      <c r="L272" s="147" t="s">
        <v>478</v>
      </c>
    </row>
    <row r="273" ht="14" customHeight="1">
      <c r="A273" s="145" t="s">
        <v>209</v>
      </c>
      <c r="B273" s="145" t="s">
        <v>210</v>
      </c>
      <c r="C273" s="145" t="n">
        <v>4</v>
      </c>
      <c r="D273" s="145" t="n">
        <v>2</v>
      </c>
      <c r="E273" s="145" t="s">
        <v>731</v>
      </c>
      <c r="F273" s="145" t="s">
        <v>484</v>
      </c>
      <c r="G273" s="149" t="s">
        <v>481</v>
      </c>
      <c r="H273" s="147" t="n">
        <v>0.6</v>
      </c>
      <c r="I273" s="148" t="n">
        <v>3</v>
      </c>
      <c r="J273" s="148" t="n">
        <v>6</v>
      </c>
      <c r="K273" s="148" t="n">
        <v>12</v>
      </c>
      <c r="L273" s="147" t="s">
        <v>531</v>
      </c>
    </row>
    <row r="274" ht="14" customHeight="1">
      <c r="A274" s="145" t="s">
        <v>209</v>
      </c>
      <c r="B274" s="145" t="s">
        <v>210</v>
      </c>
      <c r="C274" s="145" t="n">
        <v>4</v>
      </c>
      <c r="D274" s="145" t="n">
        <v>3</v>
      </c>
      <c r="E274" s="145" t="s">
        <v>732</v>
      </c>
      <c r="F274" s="145" t="s">
        <v>487</v>
      </c>
      <c r="G274" s="149" t="s">
        <v>481</v>
      </c>
      <c r="H274" s="147" t="n">
        <v>0.6</v>
      </c>
      <c r="I274" s="148" t="n">
        <v>4.8</v>
      </c>
      <c r="J274" s="148" t="n">
        <v>10.8</v>
      </c>
      <c r="K274" s="148" t="n">
        <v>21</v>
      </c>
      <c r="L274" s="147" t="s">
        <v>533</v>
      </c>
    </row>
    <row r="275" ht="14" customHeight="1">
      <c r="A275" s="145" t="s">
        <v>209</v>
      </c>
      <c r="B275" s="145" t="s">
        <v>210</v>
      </c>
      <c r="C275" s="145" t="n">
        <v>4</v>
      </c>
      <c r="D275" s="145" t="n">
        <v>4</v>
      </c>
      <c r="E275" s="145" t="s">
        <v>733</v>
      </c>
      <c r="F275" s="145" t="s">
        <v>490</v>
      </c>
      <c r="G275" s="149" t="s">
        <v>481</v>
      </c>
      <c r="H275" s="147" t="n">
        <v>0.6</v>
      </c>
      <c r="I275" s="148" t="n">
        <v>3.6</v>
      </c>
      <c r="J275" s="148" t="n">
        <v>7.2</v>
      </c>
      <c r="K275" s="148" t="n">
        <v>13.2</v>
      </c>
      <c r="L275" s="147" t="s">
        <v>565</v>
      </c>
    </row>
    <row r="276" ht="14" customHeight="1">
      <c r="A276" s="145" t="s">
        <v>209</v>
      </c>
      <c r="B276" s="145" t="s">
        <v>210</v>
      </c>
      <c r="C276" s="145" t="n">
        <v>4</v>
      </c>
      <c r="D276" s="145" t="n">
        <v>5</v>
      </c>
      <c r="E276" s="145" t="s">
        <v>734</v>
      </c>
      <c r="F276" s="145" t="s">
        <v>493</v>
      </c>
      <c r="G276" s="149" t="s">
        <v>481</v>
      </c>
      <c r="H276" s="147" t="n">
        <v>0.6</v>
      </c>
      <c r="I276" s="148" t="n">
        <v>4.8</v>
      </c>
      <c r="J276" s="148" t="n">
        <v>9.6</v>
      </c>
      <c r="K276" s="148" t="n">
        <v>18</v>
      </c>
      <c r="L276" s="147" t="s">
        <v>576</v>
      </c>
    </row>
    <row r="277" ht="14" customHeight="1">
      <c r="A277" s="145" t="s">
        <v>209</v>
      </c>
      <c r="B277" s="145" t="s">
        <v>210</v>
      </c>
      <c r="C277" s="145" t="n">
        <v>4</v>
      </c>
      <c r="D277" s="145" t="n">
        <v>6</v>
      </c>
      <c r="E277" s="145" t="s">
        <v>735</v>
      </c>
      <c r="F277" s="145" t="s">
        <v>496</v>
      </c>
      <c r="G277" s="146" t="s">
        <v>477</v>
      </c>
      <c r="H277" s="147" t="n">
        <v>1</v>
      </c>
      <c r="I277" s="148" t="n">
        <v>10</v>
      </c>
      <c r="J277" s="148" t="n">
        <v>20</v>
      </c>
      <c r="K277" s="148" t="n">
        <v>40</v>
      </c>
      <c r="L277" s="147" t="s">
        <v>497</v>
      </c>
    </row>
    <row r="278" ht="14" customHeight="1">
      <c r="A278" s="145" t="s">
        <v>209</v>
      </c>
      <c r="B278" s="145" t="s">
        <v>210</v>
      </c>
      <c r="C278" s="145" t="n">
        <v>4</v>
      </c>
      <c r="D278" s="145" t="n">
        <v>7</v>
      </c>
      <c r="E278" s="145" t="s">
        <v>668</v>
      </c>
      <c r="F278" s="145" t="s">
        <v>499</v>
      </c>
      <c r="G278" s="146" t="s">
        <v>477</v>
      </c>
      <c r="H278" s="147" t="n">
        <v>1</v>
      </c>
      <c r="I278" s="148" t="n">
        <v>8</v>
      </c>
      <c r="J278" s="148" t="n">
        <v>15</v>
      </c>
      <c r="K278" s="148" t="n">
        <v>28</v>
      </c>
      <c r="L278" s="147" t="s">
        <v>500</v>
      </c>
    </row>
    <row r="279" ht="14" customHeight="1">
      <c r="A279" s="145" t="s">
        <v>209</v>
      </c>
      <c r="B279" s="145" t="s">
        <v>210</v>
      </c>
      <c r="C279" s="145" t="n">
        <v>4</v>
      </c>
      <c r="D279" s="145" t="n">
        <v>8</v>
      </c>
      <c r="E279" s="145" t="s">
        <v>501</v>
      </c>
      <c r="F279" s="145" t="s">
        <v>502</v>
      </c>
      <c r="G279" s="146" t="s">
        <v>477</v>
      </c>
      <c r="H279" s="147" t="n">
        <v>1</v>
      </c>
      <c r="I279" s="148" t="n">
        <v>3</v>
      </c>
      <c r="J279" s="148" t="n">
        <v>6</v>
      </c>
      <c r="K279" s="148" t="n">
        <v>12</v>
      </c>
      <c r="L279" s="147" t="s">
        <v>503</v>
      </c>
    </row>
    <row r="280" ht="14" customHeight="1">
      <c r="A280" s="167">
        <is>
          <t xml:space="preserve">  ↳ ART-VIEW-01 L2 total</t>
        </is>
      </c>
      <c r="B280" s="167" t="n"/>
      <c r="C280" s="167" t="n"/>
      <c r="D280" s="167" t="n"/>
      <c r="E280" s="167" t="n"/>
      <c r="F280" s="167" t="n"/>
      <c r="G280" s="167" t="n"/>
      <c r="H280" s="167" t="n"/>
      <c r="I280" s="168" t="n">
        <v>42.2</v>
      </c>
      <c r="J280" s="168" t="n">
        <v>82.59999999999999</v>
      </c>
      <c r="K280" s="168" t="n">
        <v>159.2</v>
      </c>
      <c r="L280" s="167" t="s">
        <v>699</v>
      </c>
    </row>
    <row r="281" ht="14" customHeight="1">
      <c r="A281" s="156" t="s">
        <v>213</v>
      </c>
      <c r="B281" s="156" t="s">
        <v>214</v>
      </c>
      <c r="C281" s="156" t="n">
        <v>5</v>
      </c>
      <c r="D281" s="156" t="n">
        <v>1</v>
      </c>
      <c r="E281" s="156" t="s">
        <v>736</v>
      </c>
      <c r="F281" s="156" t="s">
        <v>476</v>
      </c>
      <c r="G281" s="146" t="s">
        <v>477</v>
      </c>
      <c r="H281" s="169" t="n">
        <v>1</v>
      </c>
      <c r="I281" s="158" t="n">
        <v>5</v>
      </c>
      <c r="J281" s="158" t="n">
        <v>8</v>
      </c>
      <c r="K281" s="158" t="n">
        <v>15</v>
      </c>
      <c r="L281" s="169" t="s">
        <v>478</v>
      </c>
    </row>
    <row r="282" ht="14" customHeight="1">
      <c r="A282" s="156" t="s">
        <v>213</v>
      </c>
      <c r="B282" s="156" t="s">
        <v>214</v>
      </c>
      <c r="C282" s="156" t="n">
        <v>5</v>
      </c>
      <c r="D282" s="156" t="n">
        <v>2</v>
      </c>
      <c r="E282" s="156" t="s">
        <v>737</v>
      </c>
      <c r="F282" s="156" t="s">
        <v>484</v>
      </c>
      <c r="G282" s="164" t="s">
        <v>528</v>
      </c>
      <c r="H282" s="169" t="n">
        <v>0.3</v>
      </c>
      <c r="I282" s="158" t="n">
        <v>1.5</v>
      </c>
      <c r="J282" s="158" t="n">
        <v>3</v>
      </c>
      <c r="K282" s="158" t="n">
        <v>6</v>
      </c>
      <c r="L282" s="169" t="s">
        <v>545</v>
      </c>
    </row>
    <row r="283" ht="14" customHeight="1">
      <c r="A283" s="156" t="s">
        <v>213</v>
      </c>
      <c r="B283" s="156" t="s">
        <v>214</v>
      </c>
      <c r="C283" s="156" t="n">
        <v>5</v>
      </c>
      <c r="D283" s="156" t="n">
        <v>3</v>
      </c>
      <c r="E283" s="156" t="s">
        <v>738</v>
      </c>
      <c r="F283" s="156" t="s">
        <v>487</v>
      </c>
      <c r="G283" s="164" t="s">
        <v>528</v>
      </c>
      <c r="H283" s="169" t="n">
        <v>0.3</v>
      </c>
      <c r="I283" s="158" t="n">
        <v>2.4</v>
      </c>
      <c r="J283" s="158" t="n">
        <v>5.4</v>
      </c>
      <c r="K283" s="158" t="n">
        <v>10.5</v>
      </c>
      <c r="L283" s="169" t="s">
        <v>547</v>
      </c>
    </row>
    <row r="284" ht="14" customHeight="1">
      <c r="A284" s="156" t="s">
        <v>213</v>
      </c>
      <c r="B284" s="156" t="s">
        <v>214</v>
      </c>
      <c r="C284" s="156" t="n">
        <v>5</v>
      </c>
      <c r="D284" s="156" t="n">
        <v>4</v>
      </c>
      <c r="E284" s="156" t="s">
        <v>739</v>
      </c>
      <c r="F284" s="156" t="s">
        <v>490</v>
      </c>
      <c r="G284" s="164" t="s">
        <v>528</v>
      </c>
      <c r="H284" s="169" t="n">
        <v>0.3</v>
      </c>
      <c r="I284" s="158" t="n">
        <v>1.8</v>
      </c>
      <c r="J284" s="158" t="n">
        <v>3.6</v>
      </c>
      <c r="K284" s="158" t="n">
        <v>6.6</v>
      </c>
      <c r="L284" s="169" t="s">
        <v>549</v>
      </c>
    </row>
    <row r="285" ht="14" customHeight="1">
      <c r="A285" s="156" t="s">
        <v>213</v>
      </c>
      <c r="B285" s="156" t="s">
        <v>214</v>
      </c>
      <c r="C285" s="156" t="n">
        <v>5</v>
      </c>
      <c r="D285" s="156" t="n">
        <v>5</v>
      </c>
      <c r="E285" s="156" t="s">
        <v>740</v>
      </c>
      <c r="F285" s="156" t="s">
        <v>493</v>
      </c>
      <c r="G285" s="164" t="s">
        <v>528</v>
      </c>
      <c r="H285" s="169" t="n">
        <v>0.3</v>
      </c>
      <c r="I285" s="158" t="n">
        <v>2.4</v>
      </c>
      <c r="J285" s="158" t="n">
        <v>4.8</v>
      </c>
      <c r="K285" s="158" t="n">
        <v>9</v>
      </c>
      <c r="L285" s="169" t="s">
        <v>551</v>
      </c>
    </row>
    <row r="286" ht="14" customHeight="1">
      <c r="A286" s="156" t="s">
        <v>213</v>
      </c>
      <c r="B286" s="156" t="s">
        <v>214</v>
      </c>
      <c r="C286" s="156" t="n">
        <v>5</v>
      </c>
      <c r="D286" s="156" t="n">
        <v>6</v>
      </c>
      <c r="E286" s="156" t="s">
        <v>741</v>
      </c>
      <c r="F286" s="156" t="s">
        <v>496</v>
      </c>
      <c r="G286" s="146" t="s">
        <v>477</v>
      </c>
      <c r="H286" s="169" t="n">
        <v>1</v>
      </c>
      <c r="I286" s="158" t="n">
        <v>10</v>
      </c>
      <c r="J286" s="158" t="n">
        <v>20</v>
      </c>
      <c r="K286" s="158" t="n">
        <v>40</v>
      </c>
      <c r="L286" s="169" t="s">
        <v>497</v>
      </c>
    </row>
    <row r="287" ht="14" customHeight="1">
      <c r="A287" s="156" t="s">
        <v>213</v>
      </c>
      <c r="B287" s="156" t="s">
        <v>214</v>
      </c>
      <c r="C287" s="156" t="n">
        <v>5</v>
      </c>
      <c r="D287" s="156" t="n">
        <v>7</v>
      </c>
      <c r="E287" s="156" t="s">
        <v>674</v>
      </c>
      <c r="F287" s="156" t="s">
        <v>499</v>
      </c>
      <c r="G287" s="146" t="s">
        <v>477</v>
      </c>
      <c r="H287" s="169" t="n">
        <v>1</v>
      </c>
      <c r="I287" s="158" t="n">
        <v>8</v>
      </c>
      <c r="J287" s="158" t="n">
        <v>15</v>
      </c>
      <c r="K287" s="158" t="n">
        <v>28</v>
      </c>
      <c r="L287" s="169" t="s">
        <v>500</v>
      </c>
    </row>
    <row r="288" ht="14" customHeight="1">
      <c r="A288" s="156" t="s">
        <v>213</v>
      </c>
      <c r="B288" s="156" t="s">
        <v>214</v>
      </c>
      <c r="C288" s="156" t="n">
        <v>5</v>
      </c>
      <c r="D288" s="156" t="n">
        <v>8</v>
      </c>
      <c r="E288" s="156" t="s">
        <v>501</v>
      </c>
      <c r="F288" s="156" t="s">
        <v>502</v>
      </c>
      <c r="G288" s="146" t="s">
        <v>477</v>
      </c>
      <c r="H288" s="169" t="n">
        <v>1</v>
      </c>
      <c r="I288" s="158" t="n">
        <v>3</v>
      </c>
      <c r="J288" s="158" t="n">
        <v>6</v>
      </c>
      <c r="K288" s="158" t="n">
        <v>12</v>
      </c>
      <c r="L288" s="169" t="s">
        <v>503</v>
      </c>
    </row>
    <row r="289" ht="14" customHeight="1">
      <c r="A289" s="167">
        <is>
          <t xml:space="preserve">  ↳ ART-EDIT-01 L2 total</t>
        </is>
      </c>
      <c r="B289" s="167" t="n"/>
      <c r="C289" s="167" t="n"/>
      <c r="D289" s="167" t="n"/>
      <c r="E289" s="167" t="n"/>
      <c r="F289" s="167" t="n"/>
      <c r="G289" s="167" t="n"/>
      <c r="H289" s="167" t="n"/>
      <c r="I289" s="168" t="n">
        <v>34.1</v>
      </c>
      <c r="J289" s="168" t="n">
        <v>65.8</v>
      </c>
      <c r="K289" s="168" t="n">
        <v>127.1</v>
      </c>
      <c r="L289" s="167" t="s">
        <v>711</v>
      </c>
    </row>
    <row r="290" ht="14" customHeight="1">
      <c r="A290" s="156" t="s">
        <v>216</v>
      </c>
      <c r="B290" s="156" t="s">
        <v>217</v>
      </c>
      <c r="C290" s="156" t="n">
        <v>5</v>
      </c>
      <c r="D290" s="156" t="n">
        <v>1</v>
      </c>
      <c r="E290" s="156" t="s">
        <v>742</v>
      </c>
      <c r="F290" s="156" t="s">
        <v>476</v>
      </c>
      <c r="G290" s="146" t="s">
        <v>477</v>
      </c>
      <c r="H290" s="169" t="n">
        <v>1</v>
      </c>
      <c r="I290" s="158" t="n">
        <v>5</v>
      </c>
      <c r="J290" s="158" t="n">
        <v>8</v>
      </c>
      <c r="K290" s="158" t="n">
        <v>15</v>
      </c>
      <c r="L290" s="169" t="s">
        <v>478</v>
      </c>
    </row>
    <row r="291" ht="14" customHeight="1">
      <c r="A291" s="156" t="s">
        <v>216</v>
      </c>
      <c r="B291" s="156" t="s">
        <v>217</v>
      </c>
      <c r="C291" s="156" t="n">
        <v>5</v>
      </c>
      <c r="D291" s="156" t="n">
        <v>2</v>
      </c>
      <c r="E291" s="156" t="s">
        <v>743</v>
      </c>
      <c r="F291" s="156" t="s">
        <v>484</v>
      </c>
      <c r="G291" s="164" t="s">
        <v>528</v>
      </c>
      <c r="H291" s="169" t="n">
        <v>0.3</v>
      </c>
      <c r="I291" s="158" t="n">
        <v>1.5</v>
      </c>
      <c r="J291" s="158" t="n">
        <v>3</v>
      </c>
      <c r="K291" s="158" t="n">
        <v>6</v>
      </c>
      <c r="L291" s="169" t="s">
        <v>545</v>
      </c>
    </row>
    <row r="292" ht="14" customHeight="1">
      <c r="A292" s="156" t="s">
        <v>216</v>
      </c>
      <c r="B292" s="156" t="s">
        <v>217</v>
      </c>
      <c r="C292" s="156" t="n">
        <v>5</v>
      </c>
      <c r="D292" s="156" t="n">
        <v>3</v>
      </c>
      <c r="E292" s="156" t="s">
        <v>744</v>
      </c>
      <c r="F292" s="156" t="s">
        <v>487</v>
      </c>
      <c r="G292" s="164" t="s">
        <v>528</v>
      </c>
      <c r="H292" s="169" t="n">
        <v>0.3</v>
      </c>
      <c r="I292" s="158" t="n">
        <v>2.4</v>
      </c>
      <c r="J292" s="158" t="n">
        <v>5.4</v>
      </c>
      <c r="K292" s="158" t="n">
        <v>10.5</v>
      </c>
      <c r="L292" s="169" t="s">
        <v>547</v>
      </c>
    </row>
    <row r="293" ht="14" customHeight="1">
      <c r="A293" s="156" t="s">
        <v>216</v>
      </c>
      <c r="B293" s="156" t="s">
        <v>217</v>
      </c>
      <c r="C293" s="156" t="n">
        <v>5</v>
      </c>
      <c r="D293" s="156" t="n">
        <v>4</v>
      </c>
      <c r="E293" s="156" t="s">
        <v>745</v>
      </c>
      <c r="F293" s="156" t="s">
        <v>490</v>
      </c>
      <c r="G293" s="164" t="s">
        <v>528</v>
      </c>
      <c r="H293" s="169" t="n">
        <v>0.3</v>
      </c>
      <c r="I293" s="158" t="n">
        <v>1.8</v>
      </c>
      <c r="J293" s="158" t="n">
        <v>3.6</v>
      </c>
      <c r="K293" s="158" t="n">
        <v>6.6</v>
      </c>
      <c r="L293" s="169" t="s">
        <v>549</v>
      </c>
    </row>
    <row r="294" ht="14" customHeight="1">
      <c r="A294" s="156" t="s">
        <v>216</v>
      </c>
      <c r="B294" s="156" t="s">
        <v>217</v>
      </c>
      <c r="C294" s="156" t="n">
        <v>5</v>
      </c>
      <c r="D294" s="156" t="n">
        <v>5</v>
      </c>
      <c r="E294" s="156" t="s">
        <v>680</v>
      </c>
      <c r="F294" s="156" t="s">
        <v>493</v>
      </c>
      <c r="G294" s="164" t="s">
        <v>528</v>
      </c>
      <c r="H294" s="169" t="n">
        <v>0.3</v>
      </c>
      <c r="I294" s="158" t="n">
        <v>2.4</v>
      </c>
      <c r="J294" s="158" t="n">
        <v>4.8</v>
      </c>
      <c r="K294" s="158" t="n">
        <v>9</v>
      </c>
      <c r="L294" s="169" t="s">
        <v>551</v>
      </c>
    </row>
    <row r="295" ht="14" customHeight="1">
      <c r="A295" s="156" t="s">
        <v>216</v>
      </c>
      <c r="B295" s="156" t="s">
        <v>217</v>
      </c>
      <c r="C295" s="156" t="n">
        <v>5</v>
      </c>
      <c r="D295" s="156" t="n">
        <v>6</v>
      </c>
      <c r="E295" s="156" t="s">
        <v>716</v>
      </c>
      <c r="F295" s="156" t="s">
        <v>496</v>
      </c>
      <c r="G295" s="146" t="s">
        <v>477</v>
      </c>
      <c r="H295" s="169" t="n">
        <v>1</v>
      </c>
      <c r="I295" s="158" t="n">
        <v>10</v>
      </c>
      <c r="J295" s="158" t="n">
        <v>20</v>
      </c>
      <c r="K295" s="158" t="n">
        <v>40</v>
      </c>
      <c r="L295" s="169" t="s">
        <v>497</v>
      </c>
    </row>
    <row r="296" ht="14" customHeight="1">
      <c r="A296" s="156" t="s">
        <v>216</v>
      </c>
      <c r="B296" s="156" t="s">
        <v>217</v>
      </c>
      <c r="C296" s="156" t="n">
        <v>5</v>
      </c>
      <c r="D296" s="156" t="n">
        <v>7</v>
      </c>
      <c r="E296" s="156" t="s">
        <v>682</v>
      </c>
      <c r="F296" s="156" t="s">
        <v>499</v>
      </c>
      <c r="G296" s="146" t="s">
        <v>477</v>
      </c>
      <c r="H296" s="169" t="n">
        <v>1</v>
      </c>
      <c r="I296" s="158" t="n">
        <v>8</v>
      </c>
      <c r="J296" s="158" t="n">
        <v>15</v>
      </c>
      <c r="K296" s="158" t="n">
        <v>28</v>
      </c>
      <c r="L296" s="169" t="s">
        <v>500</v>
      </c>
    </row>
    <row r="297" ht="14" customHeight="1">
      <c r="A297" s="156" t="s">
        <v>216</v>
      </c>
      <c r="B297" s="156" t="s">
        <v>217</v>
      </c>
      <c r="C297" s="156" t="n">
        <v>5</v>
      </c>
      <c r="D297" s="156" t="n">
        <v>8</v>
      </c>
      <c r="E297" s="156" t="s">
        <v>501</v>
      </c>
      <c r="F297" s="156" t="s">
        <v>502</v>
      </c>
      <c r="G297" s="146" t="s">
        <v>477</v>
      </c>
      <c r="H297" s="169" t="n">
        <v>1</v>
      </c>
      <c r="I297" s="158" t="n">
        <v>3</v>
      </c>
      <c r="J297" s="158" t="n">
        <v>6</v>
      </c>
      <c r="K297" s="158" t="n">
        <v>12</v>
      </c>
      <c r="L297" s="169" t="s">
        <v>503</v>
      </c>
    </row>
    <row r="298" ht="14" customHeight="1">
      <c r="A298" s="167">
        <is>
          <t xml:space="preserve">  ↳ ART-DELETE-01 L2 total</t>
        </is>
      </c>
      <c r="B298" s="167" t="n"/>
      <c r="C298" s="167" t="n"/>
      <c r="D298" s="167" t="n"/>
      <c r="E298" s="167" t="n"/>
      <c r="F298" s="167" t="n"/>
      <c r="G298" s="167" t="n"/>
      <c r="H298" s="167" t="n"/>
      <c r="I298" s="168" t="n">
        <v>34.1</v>
      </c>
      <c r="J298" s="168" t="n">
        <v>65.8</v>
      </c>
      <c r="K298" s="168" t="n">
        <v>127.1</v>
      </c>
      <c r="L298" s="167" t="s">
        <v>711</v>
      </c>
    </row>
    <row r="299" ht="14" customHeight="1">
      <c r="A299" s="160" t="s">
        <v>219</v>
      </c>
      <c r="B299" s="160" t="s">
        <v>220</v>
      </c>
      <c r="C299" s="160" t="n">
        <v>5</v>
      </c>
      <c r="D299" s="160" t="n">
        <v>1</v>
      </c>
      <c r="E299" s="160" t="s">
        <v>746</v>
      </c>
      <c r="F299" s="160" t="s">
        <v>476</v>
      </c>
      <c r="G299" s="146" t="s">
        <v>477</v>
      </c>
      <c r="H299" s="165" t="n">
        <v>1</v>
      </c>
      <c r="I299" s="162" t="n">
        <v>5</v>
      </c>
      <c r="J299" s="162" t="n">
        <v>8</v>
      </c>
      <c r="K299" s="162" t="n">
        <v>15</v>
      </c>
      <c r="L299" s="165" t="s">
        <v>478</v>
      </c>
    </row>
    <row r="300" ht="14" customHeight="1">
      <c r="A300" s="160" t="s">
        <v>219</v>
      </c>
      <c r="B300" s="160" t="s">
        <v>220</v>
      </c>
      <c r="C300" s="160" t="n">
        <v>5</v>
      </c>
      <c r="D300" s="160" t="n">
        <v>2</v>
      </c>
      <c r="E300" s="160" t="s">
        <v>747</v>
      </c>
      <c r="F300" s="160" t="s">
        <v>480</v>
      </c>
      <c r="G300" s="164" t="s">
        <v>528</v>
      </c>
      <c r="H300" s="165" t="n">
        <v>0.3</v>
      </c>
      <c r="I300" s="162" t="n">
        <v>2.4</v>
      </c>
      <c r="J300" s="162" t="n">
        <v>4.5</v>
      </c>
      <c r="K300" s="162" t="n">
        <v>8.4</v>
      </c>
      <c r="L300" s="165" t="s">
        <v>529</v>
      </c>
    </row>
    <row r="301" ht="14" customHeight="1">
      <c r="A301" s="160" t="s">
        <v>219</v>
      </c>
      <c r="B301" s="160" t="s">
        <v>220</v>
      </c>
      <c r="C301" s="160" t="n">
        <v>5</v>
      </c>
      <c r="D301" s="160" t="n">
        <v>3</v>
      </c>
      <c r="E301" s="160" t="s">
        <v>748</v>
      </c>
      <c r="F301" s="160" t="s">
        <v>484</v>
      </c>
      <c r="G301" s="146" t="s">
        <v>477</v>
      </c>
      <c r="H301" s="165" t="n">
        <v>1</v>
      </c>
      <c r="I301" s="162" t="n">
        <v>5</v>
      </c>
      <c r="J301" s="162" t="n">
        <v>10</v>
      </c>
      <c r="K301" s="162" t="n">
        <v>20</v>
      </c>
      <c r="L301" s="165" t="s">
        <v>485</v>
      </c>
    </row>
    <row r="302" ht="14" customHeight="1">
      <c r="A302" s="160" t="s">
        <v>219</v>
      </c>
      <c r="B302" s="160" t="s">
        <v>220</v>
      </c>
      <c r="C302" s="160" t="n">
        <v>5</v>
      </c>
      <c r="D302" s="160" t="n">
        <v>4</v>
      </c>
      <c r="E302" s="160" t="s">
        <v>749</v>
      </c>
      <c r="F302" s="160" t="s">
        <v>487</v>
      </c>
      <c r="G302" s="146" t="s">
        <v>477</v>
      </c>
      <c r="H302" s="165" t="n">
        <v>1</v>
      </c>
      <c r="I302" s="162" t="n">
        <v>8</v>
      </c>
      <c r="J302" s="162" t="n">
        <v>18</v>
      </c>
      <c r="K302" s="162" t="n">
        <v>35</v>
      </c>
      <c r="L302" s="165" t="s">
        <v>488</v>
      </c>
    </row>
    <row r="303" ht="14" customHeight="1">
      <c r="A303" s="160" t="s">
        <v>219</v>
      </c>
      <c r="B303" s="160" t="s">
        <v>220</v>
      </c>
      <c r="C303" s="160" t="n">
        <v>5</v>
      </c>
      <c r="D303" s="160" t="n">
        <v>5</v>
      </c>
      <c r="E303" s="160" t="s">
        <v>750</v>
      </c>
      <c r="F303" s="160" t="s">
        <v>490</v>
      </c>
      <c r="G303" s="146" t="s">
        <v>477</v>
      </c>
      <c r="H303" s="165" t="n">
        <v>1</v>
      </c>
      <c r="I303" s="162" t="n">
        <v>6</v>
      </c>
      <c r="J303" s="162" t="n">
        <v>12</v>
      </c>
      <c r="K303" s="162" t="n">
        <v>22</v>
      </c>
      <c r="L303" s="165" t="s">
        <v>491</v>
      </c>
    </row>
    <row r="304" ht="14" customHeight="1">
      <c r="A304" s="160" t="s">
        <v>219</v>
      </c>
      <c r="B304" s="160" t="s">
        <v>220</v>
      </c>
      <c r="C304" s="160" t="n">
        <v>5</v>
      </c>
      <c r="D304" s="160" t="n">
        <v>6</v>
      </c>
      <c r="E304" s="160" t="s">
        <v>751</v>
      </c>
      <c r="F304" s="160" t="s">
        <v>493</v>
      </c>
      <c r="G304" s="146" t="s">
        <v>477</v>
      </c>
      <c r="H304" s="165" t="n">
        <v>1</v>
      </c>
      <c r="I304" s="162" t="n">
        <v>8</v>
      </c>
      <c r="J304" s="162" t="n">
        <v>16</v>
      </c>
      <c r="K304" s="162" t="n">
        <v>30</v>
      </c>
      <c r="L304" s="165" t="s">
        <v>494</v>
      </c>
    </row>
    <row r="305" ht="14" customHeight="1">
      <c r="A305" s="160" t="s">
        <v>219</v>
      </c>
      <c r="B305" s="160" t="s">
        <v>220</v>
      </c>
      <c r="C305" s="160" t="n">
        <v>5</v>
      </c>
      <c r="D305" s="160" t="n">
        <v>7</v>
      </c>
      <c r="E305" s="160" t="s">
        <v>752</v>
      </c>
      <c r="F305" s="160" t="s">
        <v>496</v>
      </c>
      <c r="G305" s="146" t="s">
        <v>477</v>
      </c>
      <c r="H305" s="165" t="n">
        <v>1</v>
      </c>
      <c r="I305" s="162" t="n">
        <v>10</v>
      </c>
      <c r="J305" s="162" t="n">
        <v>20</v>
      </c>
      <c r="K305" s="162" t="n">
        <v>40</v>
      </c>
      <c r="L305" s="165" t="s">
        <v>497</v>
      </c>
    </row>
    <row r="306" ht="14" customHeight="1">
      <c r="A306" s="160" t="s">
        <v>219</v>
      </c>
      <c r="B306" s="160" t="s">
        <v>220</v>
      </c>
      <c r="C306" s="160" t="n">
        <v>5</v>
      </c>
      <c r="D306" s="160" t="n">
        <v>8</v>
      </c>
      <c r="E306" s="160" t="s">
        <v>753</v>
      </c>
      <c r="F306" s="160" t="s">
        <v>499</v>
      </c>
      <c r="G306" s="146" t="s">
        <v>477</v>
      </c>
      <c r="H306" s="165" t="n">
        <v>1</v>
      </c>
      <c r="I306" s="162" t="n">
        <v>8</v>
      </c>
      <c r="J306" s="162" t="n">
        <v>15</v>
      </c>
      <c r="K306" s="162" t="n">
        <v>28</v>
      </c>
      <c r="L306" s="165" t="s">
        <v>500</v>
      </c>
    </row>
    <row r="307" ht="14" customHeight="1">
      <c r="A307" s="160" t="s">
        <v>219</v>
      </c>
      <c r="B307" s="160" t="s">
        <v>220</v>
      </c>
      <c r="C307" s="160" t="n">
        <v>5</v>
      </c>
      <c r="D307" s="160" t="n">
        <v>9</v>
      </c>
      <c r="E307" s="160" t="s">
        <v>501</v>
      </c>
      <c r="F307" s="160" t="s">
        <v>502</v>
      </c>
      <c r="G307" s="146" t="s">
        <v>477</v>
      </c>
      <c r="H307" s="165" t="n">
        <v>1</v>
      </c>
      <c r="I307" s="162" t="n">
        <v>3</v>
      </c>
      <c r="J307" s="162" t="n">
        <v>6</v>
      </c>
      <c r="K307" s="162" t="n">
        <v>12</v>
      </c>
      <c r="L307" s="165" t="s">
        <v>503</v>
      </c>
    </row>
    <row r="308" ht="14" customHeight="1">
      <c r="A308" s="160" t="s">
        <v>219</v>
      </c>
      <c r="B308" s="160" t="s">
        <v>220</v>
      </c>
      <c r="C308" s="160" t="n">
        <v>5</v>
      </c>
      <c r="D308" s="160" t="n">
        <v>10</v>
      </c>
      <c r="E308" s="160" t="s">
        <v>754</v>
      </c>
      <c r="F308" s="160" t="s">
        <v>505</v>
      </c>
      <c r="G308" s="146" t="s">
        <v>477</v>
      </c>
      <c r="H308" s="165" t="n">
        <v>1</v>
      </c>
      <c r="I308" s="162" t="n">
        <v>6</v>
      </c>
      <c r="J308" s="162" t="n">
        <v>12</v>
      </c>
      <c r="K308" s="162" t="n">
        <v>22</v>
      </c>
      <c r="L308" s="165" t="s">
        <v>506</v>
      </c>
    </row>
    <row r="309" ht="14" customHeight="1">
      <c r="A309" s="167">
        <is>
          <t xml:space="preserve">  ↳ ART-FLOW-01 L2 total</t>
        </is>
      </c>
      <c r="B309" s="167" t="n"/>
      <c r="C309" s="167" t="n"/>
      <c r="D309" s="167" t="n"/>
      <c r="E309" s="167" t="n"/>
      <c r="F309" s="167" t="n"/>
      <c r="G309" s="167" t="n"/>
      <c r="H309" s="167" t="n"/>
      <c r="I309" s="168" t="n">
        <v>61.4</v>
      </c>
      <c r="J309" s="168" t="n">
        <v>121.5</v>
      </c>
      <c r="K309" s="168" t="n">
        <v>232.4</v>
      </c>
      <c r="L309" s="167" t="s">
        <v>598</v>
      </c>
    </row>
    <row r="310" ht="14" customHeight="1">
      <c r="A310" s="156" t="s">
        <v>223</v>
      </c>
      <c r="B310" s="156" t="s">
        <v>224</v>
      </c>
      <c r="C310" s="156" t="n">
        <v>5</v>
      </c>
      <c r="D310" s="156" t="n">
        <v>1</v>
      </c>
      <c r="E310" s="156" t="s">
        <v>755</v>
      </c>
      <c r="F310" s="156" t="s">
        <v>476</v>
      </c>
      <c r="G310" s="164" t="s">
        <v>528</v>
      </c>
      <c r="H310" s="169" t="n">
        <v>0.3</v>
      </c>
      <c r="I310" s="158" t="n">
        <v>1.5</v>
      </c>
      <c r="J310" s="158" t="n">
        <v>2.4</v>
      </c>
      <c r="K310" s="158" t="n">
        <v>4.5</v>
      </c>
      <c r="L310" s="169" t="s">
        <v>542</v>
      </c>
    </row>
    <row r="311" ht="14" customHeight="1">
      <c r="A311" s="156" t="s">
        <v>223</v>
      </c>
      <c r="B311" s="156" t="s">
        <v>224</v>
      </c>
      <c r="C311" s="156" t="n">
        <v>5</v>
      </c>
      <c r="D311" s="156" t="n">
        <v>2</v>
      </c>
      <c r="E311" s="156" t="s">
        <v>756</v>
      </c>
      <c r="F311" s="156" t="s">
        <v>480</v>
      </c>
      <c r="G311" s="164" t="s">
        <v>528</v>
      </c>
      <c r="H311" s="169" t="n">
        <v>0.3</v>
      </c>
      <c r="I311" s="158" t="n">
        <v>2.4</v>
      </c>
      <c r="J311" s="158" t="n">
        <v>4.5</v>
      </c>
      <c r="K311" s="158" t="n">
        <v>8.4</v>
      </c>
      <c r="L311" s="169" t="s">
        <v>529</v>
      </c>
    </row>
    <row r="312" ht="14" customHeight="1">
      <c r="A312" s="156" t="s">
        <v>223</v>
      </c>
      <c r="B312" s="156" t="s">
        <v>224</v>
      </c>
      <c r="C312" s="156" t="n">
        <v>5</v>
      </c>
      <c r="D312" s="156" t="n">
        <v>3</v>
      </c>
      <c r="E312" s="156" t="s">
        <v>757</v>
      </c>
      <c r="F312" s="156" t="s">
        <v>490</v>
      </c>
      <c r="G312" s="164" t="s">
        <v>528</v>
      </c>
      <c r="H312" s="169" t="n">
        <v>0.3</v>
      </c>
      <c r="I312" s="158" t="n">
        <v>1.8</v>
      </c>
      <c r="J312" s="158" t="n">
        <v>3.6</v>
      </c>
      <c r="K312" s="158" t="n">
        <v>6.6</v>
      </c>
      <c r="L312" s="169" t="s">
        <v>549</v>
      </c>
    </row>
    <row r="313" ht="14" customHeight="1">
      <c r="A313" s="156" t="s">
        <v>223</v>
      </c>
      <c r="B313" s="156" t="s">
        <v>224</v>
      </c>
      <c r="C313" s="156" t="n">
        <v>5</v>
      </c>
      <c r="D313" s="156" t="n">
        <v>4</v>
      </c>
      <c r="E313" s="156" t="s">
        <v>758</v>
      </c>
      <c r="F313" s="156" t="s">
        <v>493</v>
      </c>
      <c r="G313" s="164" t="s">
        <v>528</v>
      </c>
      <c r="H313" s="169" t="n">
        <v>0.3</v>
      </c>
      <c r="I313" s="158" t="n">
        <v>2.4</v>
      </c>
      <c r="J313" s="158" t="n">
        <v>4.8</v>
      </c>
      <c r="K313" s="158" t="n">
        <v>9</v>
      </c>
      <c r="L313" s="169" t="s">
        <v>551</v>
      </c>
    </row>
    <row r="314" ht="14" customHeight="1">
      <c r="A314" s="156" t="s">
        <v>223</v>
      </c>
      <c r="B314" s="156" t="s">
        <v>224</v>
      </c>
      <c r="C314" s="156" t="n">
        <v>5</v>
      </c>
      <c r="D314" s="156" t="n">
        <v>5</v>
      </c>
      <c r="E314" s="156" t="s">
        <v>759</v>
      </c>
      <c r="F314" s="156" t="s">
        <v>496</v>
      </c>
      <c r="G314" s="164" t="s">
        <v>528</v>
      </c>
      <c r="H314" s="169" t="n">
        <v>0.3</v>
      </c>
      <c r="I314" s="158" t="n">
        <v>3</v>
      </c>
      <c r="J314" s="158" t="n">
        <v>6</v>
      </c>
      <c r="K314" s="158" t="n">
        <v>12</v>
      </c>
      <c r="L314" s="169" t="s">
        <v>553</v>
      </c>
    </row>
    <row r="315" ht="14" customHeight="1">
      <c r="A315" s="156" t="s">
        <v>223</v>
      </c>
      <c r="B315" s="156" t="s">
        <v>224</v>
      </c>
      <c r="C315" s="156" t="n">
        <v>5</v>
      </c>
      <c r="D315" s="156" t="n">
        <v>6</v>
      </c>
      <c r="E315" s="156" t="s">
        <v>760</v>
      </c>
      <c r="F315" s="156" t="s">
        <v>502</v>
      </c>
      <c r="G315" s="164" t="s">
        <v>528</v>
      </c>
      <c r="H315" s="169" t="n">
        <v>0.3</v>
      </c>
      <c r="I315" s="158" t="n">
        <v>0.9</v>
      </c>
      <c r="J315" s="158" t="n">
        <v>1.8</v>
      </c>
      <c r="K315" s="158" t="n">
        <v>3.6</v>
      </c>
      <c r="L315" s="169" t="s">
        <v>557</v>
      </c>
    </row>
    <row r="316" ht="14" customHeight="1">
      <c r="A316" s="167">
        <is>
          <t xml:space="preserve">  ↳ AG-LIST-01 L2 total</t>
        </is>
      </c>
      <c r="B316" s="167" t="n"/>
      <c r="C316" s="167" t="n"/>
      <c r="D316" s="167" t="n"/>
      <c r="E316" s="167" t="n"/>
      <c r="F316" s="167" t="n"/>
      <c r="G316" s="167" t="n"/>
      <c r="H316" s="167" t="n"/>
      <c r="I316" s="168" t="n">
        <v>12</v>
      </c>
      <c r="J316" s="168" t="n">
        <v>23.1</v>
      </c>
      <c r="K316" s="168" t="n">
        <v>44.1</v>
      </c>
      <c r="L316" s="167" t="s">
        <v>761</v>
      </c>
    </row>
    <row r="317" ht="14" customHeight="1">
      <c r="A317" s="156" t="s">
        <v>228</v>
      </c>
      <c r="B317" s="156" t="s">
        <v>229</v>
      </c>
      <c r="C317" s="156" t="n">
        <v>5</v>
      </c>
      <c r="D317" s="156" t="n">
        <v>1</v>
      </c>
      <c r="E317" s="156" t="s">
        <v>755</v>
      </c>
      <c r="F317" s="156" t="s">
        <v>476</v>
      </c>
      <c r="G317" s="164" t="s">
        <v>528</v>
      </c>
      <c r="H317" s="169" t="n">
        <v>0.3</v>
      </c>
      <c r="I317" s="158" t="n">
        <v>1.5</v>
      </c>
      <c r="J317" s="158" t="n">
        <v>2.4</v>
      </c>
      <c r="K317" s="158" t="n">
        <v>4.5</v>
      </c>
      <c r="L317" s="169" t="s">
        <v>542</v>
      </c>
    </row>
    <row r="318" ht="14" customHeight="1">
      <c r="A318" s="156" t="s">
        <v>228</v>
      </c>
      <c r="B318" s="156" t="s">
        <v>229</v>
      </c>
      <c r="C318" s="156" t="n">
        <v>5</v>
      </c>
      <c r="D318" s="156" t="n">
        <v>2</v>
      </c>
      <c r="E318" s="156" t="s">
        <v>762</v>
      </c>
      <c r="F318" s="156" t="s">
        <v>484</v>
      </c>
      <c r="G318" s="164" t="s">
        <v>528</v>
      </c>
      <c r="H318" s="169" t="n">
        <v>0.3</v>
      </c>
      <c r="I318" s="158" t="n">
        <v>1.5</v>
      </c>
      <c r="J318" s="158" t="n">
        <v>3</v>
      </c>
      <c r="K318" s="158" t="n">
        <v>6</v>
      </c>
      <c r="L318" s="169" t="s">
        <v>545</v>
      </c>
    </row>
    <row r="319" ht="14" customHeight="1">
      <c r="A319" s="156" t="s">
        <v>228</v>
      </c>
      <c r="B319" s="156" t="s">
        <v>229</v>
      </c>
      <c r="C319" s="156" t="n">
        <v>5</v>
      </c>
      <c r="D319" s="156" t="n">
        <v>3</v>
      </c>
      <c r="E319" s="156" t="s">
        <v>763</v>
      </c>
      <c r="F319" s="156" t="s">
        <v>487</v>
      </c>
      <c r="G319" s="164" t="s">
        <v>528</v>
      </c>
      <c r="H319" s="169" t="n">
        <v>0.3</v>
      </c>
      <c r="I319" s="158" t="n">
        <v>2.4</v>
      </c>
      <c r="J319" s="158" t="n">
        <v>5.4</v>
      </c>
      <c r="K319" s="158" t="n">
        <v>10.5</v>
      </c>
      <c r="L319" s="169" t="s">
        <v>547</v>
      </c>
    </row>
    <row r="320" ht="14" customHeight="1">
      <c r="A320" s="156" t="s">
        <v>228</v>
      </c>
      <c r="B320" s="156" t="s">
        <v>229</v>
      </c>
      <c r="C320" s="156" t="n">
        <v>5</v>
      </c>
      <c r="D320" s="156" t="n">
        <v>4</v>
      </c>
      <c r="E320" s="156" t="s">
        <v>764</v>
      </c>
      <c r="F320" s="156" t="s">
        <v>490</v>
      </c>
      <c r="G320" s="164" t="s">
        <v>528</v>
      </c>
      <c r="H320" s="169" t="n">
        <v>0.3</v>
      </c>
      <c r="I320" s="158" t="n">
        <v>1.8</v>
      </c>
      <c r="J320" s="158" t="n">
        <v>3.6</v>
      </c>
      <c r="K320" s="158" t="n">
        <v>6.6</v>
      </c>
      <c r="L320" s="169" t="s">
        <v>549</v>
      </c>
    </row>
    <row r="321" ht="14" customHeight="1">
      <c r="A321" s="156" t="s">
        <v>228</v>
      </c>
      <c r="B321" s="156" t="s">
        <v>229</v>
      </c>
      <c r="C321" s="156" t="n">
        <v>5</v>
      </c>
      <c r="D321" s="156" t="n">
        <v>5</v>
      </c>
      <c r="E321" s="156" t="s">
        <v>765</v>
      </c>
      <c r="F321" s="156" t="s">
        <v>493</v>
      </c>
      <c r="G321" s="164" t="s">
        <v>528</v>
      </c>
      <c r="H321" s="169" t="n">
        <v>0.3</v>
      </c>
      <c r="I321" s="158" t="n">
        <v>2.4</v>
      </c>
      <c r="J321" s="158" t="n">
        <v>4.8</v>
      </c>
      <c r="K321" s="158" t="n">
        <v>9</v>
      </c>
      <c r="L321" s="169" t="s">
        <v>551</v>
      </c>
    </row>
    <row r="322" ht="14" customHeight="1">
      <c r="A322" s="156" t="s">
        <v>228</v>
      </c>
      <c r="B322" s="156" t="s">
        <v>229</v>
      </c>
      <c r="C322" s="156" t="n">
        <v>5</v>
      </c>
      <c r="D322" s="156" t="n">
        <v>6</v>
      </c>
      <c r="E322" s="156" t="s">
        <v>759</v>
      </c>
      <c r="F322" s="156" t="s">
        <v>496</v>
      </c>
      <c r="G322" s="164" t="s">
        <v>528</v>
      </c>
      <c r="H322" s="169" t="n">
        <v>0.3</v>
      </c>
      <c r="I322" s="158" t="n">
        <v>3</v>
      </c>
      <c r="J322" s="158" t="n">
        <v>6</v>
      </c>
      <c r="K322" s="158" t="n">
        <v>12</v>
      </c>
      <c r="L322" s="169" t="s">
        <v>553</v>
      </c>
    </row>
    <row r="323" ht="14" customHeight="1">
      <c r="A323" s="156" t="s">
        <v>228</v>
      </c>
      <c r="B323" s="156" t="s">
        <v>229</v>
      </c>
      <c r="C323" s="156" t="n">
        <v>5</v>
      </c>
      <c r="D323" s="156" t="n">
        <v>7</v>
      </c>
      <c r="E323" s="156" t="s">
        <v>760</v>
      </c>
      <c r="F323" s="156" t="s">
        <v>502</v>
      </c>
      <c r="G323" s="164" t="s">
        <v>528</v>
      </c>
      <c r="H323" s="169" t="n">
        <v>0.3</v>
      </c>
      <c r="I323" s="158" t="n">
        <v>0.9</v>
      </c>
      <c r="J323" s="158" t="n">
        <v>1.8</v>
      </c>
      <c r="K323" s="158" t="n">
        <v>3.6</v>
      </c>
      <c r="L323" s="169" t="s">
        <v>557</v>
      </c>
    </row>
    <row r="324" ht="14" customHeight="1">
      <c r="A324" s="167">
        <is>
          <t xml:space="preserve">  ↳ AG-CREATE-01 L2 total</t>
        </is>
      </c>
      <c r="B324" s="167" t="n"/>
      <c r="C324" s="167" t="n"/>
      <c r="D324" s="167" t="n"/>
      <c r="E324" s="167" t="n"/>
      <c r="F324" s="167" t="n"/>
      <c r="G324" s="167" t="n"/>
      <c r="H324" s="167" t="n"/>
      <c r="I324" s="168" t="n">
        <v>13.5</v>
      </c>
      <c r="J324" s="168" t="n">
        <v>27</v>
      </c>
      <c r="K324" s="168" t="n">
        <v>52.2</v>
      </c>
      <c r="L324" s="167" t="s">
        <v>766</v>
      </c>
    </row>
    <row r="325" ht="14" customHeight="1">
      <c r="A325" s="156" t="s">
        <v>232</v>
      </c>
      <c r="B325" s="156" t="s">
        <v>233</v>
      </c>
      <c r="C325" s="156" t="n">
        <v>5</v>
      </c>
      <c r="D325" s="156" t="n">
        <v>1</v>
      </c>
      <c r="E325" s="156" t="s">
        <v>755</v>
      </c>
      <c r="F325" s="156" t="s">
        <v>476</v>
      </c>
      <c r="G325" s="164" t="s">
        <v>528</v>
      </c>
      <c r="H325" s="169" t="n">
        <v>0.3</v>
      </c>
      <c r="I325" s="158" t="n">
        <v>1.5</v>
      </c>
      <c r="J325" s="158" t="n">
        <v>2.4</v>
      </c>
      <c r="K325" s="158" t="n">
        <v>4.5</v>
      </c>
      <c r="L325" s="169" t="s">
        <v>542</v>
      </c>
    </row>
    <row r="326" ht="14" customHeight="1">
      <c r="A326" s="156" t="s">
        <v>232</v>
      </c>
      <c r="B326" s="156" t="s">
        <v>233</v>
      </c>
      <c r="C326" s="156" t="n">
        <v>5</v>
      </c>
      <c r="D326" s="156" t="n">
        <v>2</v>
      </c>
      <c r="E326" s="156" t="s">
        <v>767</v>
      </c>
      <c r="F326" s="156" t="s">
        <v>490</v>
      </c>
      <c r="G326" s="164" t="s">
        <v>528</v>
      </c>
      <c r="H326" s="169" t="n">
        <v>0.3</v>
      </c>
      <c r="I326" s="158" t="n">
        <v>1.8</v>
      </c>
      <c r="J326" s="158" t="n">
        <v>3.6</v>
      </c>
      <c r="K326" s="158" t="n">
        <v>6.6</v>
      </c>
      <c r="L326" s="169" t="s">
        <v>549</v>
      </c>
    </row>
    <row r="327" ht="14" customHeight="1">
      <c r="A327" s="156" t="s">
        <v>232</v>
      </c>
      <c r="B327" s="156" t="s">
        <v>233</v>
      </c>
      <c r="C327" s="156" t="n">
        <v>5</v>
      </c>
      <c r="D327" s="156" t="n">
        <v>3</v>
      </c>
      <c r="E327" s="156" t="s">
        <v>768</v>
      </c>
      <c r="F327" s="156" t="s">
        <v>493</v>
      </c>
      <c r="G327" s="164" t="s">
        <v>528</v>
      </c>
      <c r="H327" s="169" t="n">
        <v>0.3</v>
      </c>
      <c r="I327" s="158" t="n">
        <v>2.4</v>
      </c>
      <c r="J327" s="158" t="n">
        <v>4.8</v>
      </c>
      <c r="K327" s="158" t="n">
        <v>9</v>
      </c>
      <c r="L327" s="169" t="s">
        <v>551</v>
      </c>
    </row>
    <row r="328" ht="14" customHeight="1">
      <c r="A328" s="156" t="s">
        <v>232</v>
      </c>
      <c r="B328" s="156" t="s">
        <v>233</v>
      </c>
      <c r="C328" s="156" t="n">
        <v>5</v>
      </c>
      <c r="D328" s="156" t="n">
        <v>4</v>
      </c>
      <c r="E328" s="156" t="s">
        <v>759</v>
      </c>
      <c r="F328" s="156" t="s">
        <v>496</v>
      </c>
      <c r="G328" s="164" t="s">
        <v>528</v>
      </c>
      <c r="H328" s="169" t="n">
        <v>0.3</v>
      </c>
      <c r="I328" s="158" t="n">
        <v>3</v>
      </c>
      <c r="J328" s="158" t="n">
        <v>6</v>
      </c>
      <c r="K328" s="158" t="n">
        <v>12</v>
      </c>
      <c r="L328" s="169" t="s">
        <v>553</v>
      </c>
    </row>
    <row r="329" ht="14" customHeight="1">
      <c r="A329" s="156" t="s">
        <v>232</v>
      </c>
      <c r="B329" s="156" t="s">
        <v>233</v>
      </c>
      <c r="C329" s="156" t="n">
        <v>5</v>
      </c>
      <c r="D329" s="156" t="n">
        <v>5</v>
      </c>
      <c r="E329" s="156" t="s">
        <v>760</v>
      </c>
      <c r="F329" s="156" t="s">
        <v>502</v>
      </c>
      <c r="G329" s="164" t="s">
        <v>528</v>
      </c>
      <c r="H329" s="169" t="n">
        <v>0.3</v>
      </c>
      <c r="I329" s="158" t="n">
        <v>0.9</v>
      </c>
      <c r="J329" s="158" t="n">
        <v>1.8</v>
      </c>
      <c r="K329" s="158" t="n">
        <v>3.6</v>
      </c>
      <c r="L329" s="169" t="s">
        <v>557</v>
      </c>
    </row>
    <row r="330" ht="14" customHeight="1">
      <c r="A330" s="167">
        <is>
          <t xml:space="preserve">  ↳ AG-VIEW-01 L2 total</t>
        </is>
      </c>
      <c r="B330" s="167" t="n"/>
      <c r="C330" s="167" t="n"/>
      <c r="D330" s="167" t="n"/>
      <c r="E330" s="167" t="n"/>
      <c r="F330" s="167" t="n"/>
      <c r="G330" s="167" t="n"/>
      <c r="H330" s="167" t="n"/>
      <c r="I330" s="168" t="n">
        <v>9.6</v>
      </c>
      <c r="J330" s="168" t="n">
        <v>18.6</v>
      </c>
      <c r="K330" s="168" t="n">
        <v>35.7</v>
      </c>
      <c r="L330" s="167" t="s">
        <v>769</v>
      </c>
    </row>
    <row r="331" ht="14" customHeight="1">
      <c r="A331" s="156" t="s">
        <v>236</v>
      </c>
      <c r="B331" s="156" t="s">
        <v>237</v>
      </c>
      <c r="C331" s="156" t="n">
        <v>5</v>
      </c>
      <c r="D331" s="156" t="n">
        <v>1</v>
      </c>
      <c r="E331" s="156" t="s">
        <v>755</v>
      </c>
      <c r="F331" s="156" t="s">
        <v>476</v>
      </c>
      <c r="G331" s="164" t="s">
        <v>528</v>
      </c>
      <c r="H331" s="169" t="n">
        <v>0.3</v>
      </c>
      <c r="I331" s="158" t="n">
        <v>1.5</v>
      </c>
      <c r="J331" s="158" t="n">
        <v>2.4</v>
      </c>
      <c r="K331" s="158" t="n">
        <v>4.5</v>
      </c>
      <c r="L331" s="169" t="s">
        <v>542</v>
      </c>
    </row>
    <row r="332" ht="14" customHeight="1">
      <c r="A332" s="156" t="s">
        <v>236</v>
      </c>
      <c r="B332" s="156" t="s">
        <v>237</v>
      </c>
      <c r="C332" s="156" t="n">
        <v>5</v>
      </c>
      <c r="D332" s="156" t="n">
        <v>2</v>
      </c>
      <c r="E332" s="156" t="s">
        <v>770</v>
      </c>
      <c r="F332" s="156" t="s">
        <v>490</v>
      </c>
      <c r="G332" s="164" t="s">
        <v>528</v>
      </c>
      <c r="H332" s="169" t="n">
        <v>0.3</v>
      </c>
      <c r="I332" s="158" t="n">
        <v>1.8</v>
      </c>
      <c r="J332" s="158" t="n">
        <v>3.6</v>
      </c>
      <c r="K332" s="158" t="n">
        <v>6.6</v>
      </c>
      <c r="L332" s="169" t="s">
        <v>549</v>
      </c>
    </row>
    <row r="333" ht="14" customHeight="1">
      <c r="A333" s="156" t="s">
        <v>236</v>
      </c>
      <c r="B333" s="156" t="s">
        <v>237</v>
      </c>
      <c r="C333" s="156" t="n">
        <v>5</v>
      </c>
      <c r="D333" s="156" t="n">
        <v>3</v>
      </c>
      <c r="E333" s="156" t="s">
        <v>771</v>
      </c>
      <c r="F333" s="156" t="s">
        <v>493</v>
      </c>
      <c r="G333" s="164" t="s">
        <v>528</v>
      </c>
      <c r="H333" s="169" t="n">
        <v>0.3</v>
      </c>
      <c r="I333" s="158" t="n">
        <v>2.4</v>
      </c>
      <c r="J333" s="158" t="n">
        <v>4.8</v>
      </c>
      <c r="K333" s="158" t="n">
        <v>9</v>
      </c>
      <c r="L333" s="169" t="s">
        <v>551</v>
      </c>
    </row>
    <row r="334" ht="14" customHeight="1">
      <c r="A334" s="156" t="s">
        <v>236</v>
      </c>
      <c r="B334" s="156" t="s">
        <v>237</v>
      </c>
      <c r="C334" s="156" t="n">
        <v>5</v>
      </c>
      <c r="D334" s="156" t="n">
        <v>4</v>
      </c>
      <c r="E334" s="156" t="s">
        <v>759</v>
      </c>
      <c r="F334" s="156" t="s">
        <v>496</v>
      </c>
      <c r="G334" s="164" t="s">
        <v>528</v>
      </c>
      <c r="H334" s="169" t="n">
        <v>0.3</v>
      </c>
      <c r="I334" s="158" t="n">
        <v>3</v>
      </c>
      <c r="J334" s="158" t="n">
        <v>6</v>
      </c>
      <c r="K334" s="158" t="n">
        <v>12</v>
      </c>
      <c r="L334" s="169" t="s">
        <v>553</v>
      </c>
    </row>
    <row r="335" ht="14" customHeight="1">
      <c r="A335" s="156" t="s">
        <v>236</v>
      </c>
      <c r="B335" s="156" t="s">
        <v>237</v>
      </c>
      <c r="C335" s="156" t="n">
        <v>5</v>
      </c>
      <c r="D335" s="156" t="n">
        <v>5</v>
      </c>
      <c r="E335" s="156" t="s">
        <v>760</v>
      </c>
      <c r="F335" s="156" t="s">
        <v>502</v>
      </c>
      <c r="G335" s="164" t="s">
        <v>528</v>
      </c>
      <c r="H335" s="169" t="n">
        <v>0.3</v>
      </c>
      <c r="I335" s="158" t="n">
        <v>0.9</v>
      </c>
      <c r="J335" s="158" t="n">
        <v>1.8</v>
      </c>
      <c r="K335" s="158" t="n">
        <v>3.6</v>
      </c>
      <c r="L335" s="169" t="s">
        <v>557</v>
      </c>
    </row>
    <row r="336" ht="14" customHeight="1">
      <c r="A336" s="167">
        <is>
          <t xml:space="preserve">  ↳ AG-EDIT-01 L2 total</t>
        </is>
      </c>
      <c r="B336" s="167" t="n"/>
      <c r="C336" s="167" t="n"/>
      <c r="D336" s="167" t="n"/>
      <c r="E336" s="167" t="n"/>
      <c r="F336" s="167" t="n"/>
      <c r="G336" s="167" t="n"/>
      <c r="H336" s="167" t="n"/>
      <c r="I336" s="168" t="n">
        <v>9.6</v>
      </c>
      <c r="J336" s="168" t="n">
        <v>18.6</v>
      </c>
      <c r="K336" s="168" t="n">
        <v>35.7</v>
      </c>
      <c r="L336" s="167" t="s">
        <v>769</v>
      </c>
    </row>
    <row r="337" ht="14" customHeight="1">
      <c r="A337" s="156" t="s">
        <v>239</v>
      </c>
      <c r="B337" s="156" t="s">
        <v>240</v>
      </c>
      <c r="C337" s="156" t="n">
        <v>5</v>
      </c>
      <c r="D337" s="156" t="n">
        <v>1</v>
      </c>
      <c r="E337" s="156" t="s">
        <v>755</v>
      </c>
      <c r="F337" s="156" t="s">
        <v>476</v>
      </c>
      <c r="G337" s="164" t="s">
        <v>528</v>
      </c>
      <c r="H337" s="169" t="n">
        <v>0.3</v>
      </c>
      <c r="I337" s="158" t="n">
        <v>1.5</v>
      </c>
      <c r="J337" s="158" t="n">
        <v>2.4</v>
      </c>
      <c r="K337" s="158" t="n">
        <v>4.5</v>
      </c>
      <c r="L337" s="169" t="s">
        <v>542</v>
      </c>
    </row>
    <row r="338" ht="14" customHeight="1">
      <c r="A338" s="156" t="s">
        <v>239</v>
      </c>
      <c r="B338" s="156" t="s">
        <v>240</v>
      </c>
      <c r="C338" s="156" t="n">
        <v>5</v>
      </c>
      <c r="D338" s="156" t="n">
        <v>2</v>
      </c>
      <c r="E338" s="156" t="s">
        <v>772</v>
      </c>
      <c r="F338" s="156" t="s">
        <v>490</v>
      </c>
      <c r="G338" s="164" t="s">
        <v>528</v>
      </c>
      <c r="H338" s="169" t="n">
        <v>0.3</v>
      </c>
      <c r="I338" s="158" t="n">
        <v>1.8</v>
      </c>
      <c r="J338" s="158" t="n">
        <v>3.6</v>
      </c>
      <c r="K338" s="158" t="n">
        <v>6.6</v>
      </c>
      <c r="L338" s="169" t="s">
        <v>549</v>
      </c>
    </row>
    <row r="339" ht="14" customHeight="1">
      <c r="A339" s="156" t="s">
        <v>239</v>
      </c>
      <c r="B339" s="156" t="s">
        <v>240</v>
      </c>
      <c r="C339" s="156" t="n">
        <v>5</v>
      </c>
      <c r="D339" s="156" t="n">
        <v>3</v>
      </c>
      <c r="E339" s="156" t="s">
        <v>773</v>
      </c>
      <c r="F339" s="156" t="s">
        <v>493</v>
      </c>
      <c r="G339" s="164" t="s">
        <v>528</v>
      </c>
      <c r="H339" s="169" t="n">
        <v>0.3</v>
      </c>
      <c r="I339" s="158" t="n">
        <v>2.4</v>
      </c>
      <c r="J339" s="158" t="n">
        <v>4.8</v>
      </c>
      <c r="K339" s="158" t="n">
        <v>9</v>
      </c>
      <c r="L339" s="169" t="s">
        <v>551</v>
      </c>
    </row>
    <row r="340" ht="14" customHeight="1">
      <c r="A340" s="156" t="s">
        <v>239</v>
      </c>
      <c r="B340" s="156" t="s">
        <v>240</v>
      </c>
      <c r="C340" s="156" t="n">
        <v>5</v>
      </c>
      <c r="D340" s="156" t="n">
        <v>4</v>
      </c>
      <c r="E340" s="156" t="s">
        <v>759</v>
      </c>
      <c r="F340" s="156" t="s">
        <v>496</v>
      </c>
      <c r="G340" s="164" t="s">
        <v>528</v>
      </c>
      <c r="H340" s="169" t="n">
        <v>0.3</v>
      </c>
      <c r="I340" s="158" t="n">
        <v>3</v>
      </c>
      <c r="J340" s="158" t="n">
        <v>6</v>
      </c>
      <c r="K340" s="158" t="n">
        <v>12</v>
      </c>
      <c r="L340" s="169" t="s">
        <v>553</v>
      </c>
    </row>
    <row r="341" ht="14" customHeight="1">
      <c r="A341" s="156" t="s">
        <v>239</v>
      </c>
      <c r="B341" s="156" t="s">
        <v>240</v>
      </c>
      <c r="C341" s="156" t="n">
        <v>5</v>
      </c>
      <c r="D341" s="156" t="n">
        <v>5</v>
      </c>
      <c r="E341" s="156" t="s">
        <v>760</v>
      </c>
      <c r="F341" s="156" t="s">
        <v>502</v>
      </c>
      <c r="G341" s="164" t="s">
        <v>528</v>
      </c>
      <c r="H341" s="169" t="n">
        <v>0.3</v>
      </c>
      <c r="I341" s="158" t="n">
        <v>0.9</v>
      </c>
      <c r="J341" s="158" t="n">
        <v>1.8</v>
      </c>
      <c r="K341" s="158" t="n">
        <v>3.6</v>
      </c>
      <c r="L341" s="169" t="s">
        <v>557</v>
      </c>
    </row>
    <row r="342" ht="14" customHeight="1">
      <c r="A342" s="167">
        <is>
          <t xml:space="preserve">  ↳ AG-DELETE-01 L2 total</t>
        </is>
      </c>
      <c r="B342" s="167" t="n"/>
      <c r="C342" s="167" t="n"/>
      <c r="D342" s="167" t="n"/>
      <c r="E342" s="167" t="n"/>
      <c r="F342" s="167" t="n"/>
      <c r="G342" s="167" t="n"/>
      <c r="H342" s="167" t="n"/>
      <c r="I342" s="168" t="n">
        <v>9.6</v>
      </c>
      <c r="J342" s="168" t="n">
        <v>18.6</v>
      </c>
      <c r="K342" s="168" t="n">
        <v>35.7</v>
      </c>
      <c r="L342" s="167" t="s">
        <v>769</v>
      </c>
    </row>
    <row r="343" ht="14" customHeight="1">
      <c r="A343" s="156" t="s">
        <v>242</v>
      </c>
      <c r="B343" s="156" t="s">
        <v>243</v>
      </c>
      <c r="C343" s="156" t="n">
        <v>5</v>
      </c>
      <c r="D343" s="156" t="n">
        <v>1</v>
      </c>
      <c r="E343" s="156" t="s">
        <v>755</v>
      </c>
      <c r="F343" s="156" t="s">
        <v>476</v>
      </c>
      <c r="G343" s="164" t="s">
        <v>528</v>
      </c>
      <c r="H343" s="169" t="n">
        <v>0.3</v>
      </c>
      <c r="I343" s="158" t="n">
        <v>1.5</v>
      </c>
      <c r="J343" s="158" t="n">
        <v>2.4</v>
      </c>
      <c r="K343" s="158" t="n">
        <v>4.5</v>
      </c>
      <c r="L343" s="169" t="s">
        <v>542</v>
      </c>
    </row>
    <row r="344" ht="14" customHeight="1">
      <c r="A344" s="156" t="s">
        <v>242</v>
      </c>
      <c r="B344" s="156" t="s">
        <v>243</v>
      </c>
      <c r="C344" s="156" t="n">
        <v>5</v>
      </c>
      <c r="D344" s="156" t="n">
        <v>2</v>
      </c>
      <c r="E344" s="156" t="s">
        <v>774</v>
      </c>
      <c r="F344" s="156" t="s">
        <v>480</v>
      </c>
      <c r="G344" s="164" t="s">
        <v>528</v>
      </c>
      <c r="H344" s="169" t="n">
        <v>0.3</v>
      </c>
      <c r="I344" s="158" t="n">
        <v>2.4</v>
      </c>
      <c r="J344" s="158" t="n">
        <v>4.5</v>
      </c>
      <c r="K344" s="158" t="n">
        <v>8.4</v>
      </c>
      <c r="L344" s="169" t="s">
        <v>529</v>
      </c>
    </row>
    <row r="345" ht="14" customHeight="1">
      <c r="A345" s="156" t="s">
        <v>242</v>
      </c>
      <c r="B345" s="156" t="s">
        <v>243</v>
      </c>
      <c r="C345" s="156" t="n">
        <v>5</v>
      </c>
      <c r="D345" s="156" t="n">
        <v>3</v>
      </c>
      <c r="E345" s="156" t="s">
        <v>775</v>
      </c>
      <c r="F345" s="156" t="s">
        <v>490</v>
      </c>
      <c r="G345" s="164" t="s">
        <v>528</v>
      </c>
      <c r="H345" s="169" t="n">
        <v>0.3</v>
      </c>
      <c r="I345" s="158" t="n">
        <v>1.8</v>
      </c>
      <c r="J345" s="158" t="n">
        <v>3.6</v>
      </c>
      <c r="K345" s="158" t="n">
        <v>6.6</v>
      </c>
      <c r="L345" s="169" t="s">
        <v>549</v>
      </c>
    </row>
    <row r="346" ht="14" customHeight="1">
      <c r="A346" s="156" t="s">
        <v>242</v>
      </c>
      <c r="B346" s="156" t="s">
        <v>243</v>
      </c>
      <c r="C346" s="156" t="n">
        <v>5</v>
      </c>
      <c r="D346" s="156" t="n">
        <v>4</v>
      </c>
      <c r="E346" s="156" t="s">
        <v>776</v>
      </c>
      <c r="F346" s="156" t="s">
        <v>493</v>
      </c>
      <c r="G346" s="164" t="s">
        <v>528</v>
      </c>
      <c r="H346" s="169" t="n">
        <v>0.3</v>
      </c>
      <c r="I346" s="158" t="n">
        <v>2.4</v>
      </c>
      <c r="J346" s="158" t="n">
        <v>4.8</v>
      </c>
      <c r="K346" s="158" t="n">
        <v>9</v>
      </c>
      <c r="L346" s="169" t="s">
        <v>551</v>
      </c>
    </row>
    <row r="347" ht="14" customHeight="1">
      <c r="A347" s="156" t="s">
        <v>242</v>
      </c>
      <c r="B347" s="156" t="s">
        <v>243</v>
      </c>
      <c r="C347" s="156" t="n">
        <v>5</v>
      </c>
      <c r="D347" s="156" t="n">
        <v>5</v>
      </c>
      <c r="E347" s="156" t="s">
        <v>759</v>
      </c>
      <c r="F347" s="156" t="s">
        <v>496</v>
      </c>
      <c r="G347" s="164" t="s">
        <v>528</v>
      </c>
      <c r="H347" s="169" t="n">
        <v>0.3</v>
      </c>
      <c r="I347" s="158" t="n">
        <v>3</v>
      </c>
      <c r="J347" s="158" t="n">
        <v>6</v>
      </c>
      <c r="K347" s="158" t="n">
        <v>12</v>
      </c>
      <c r="L347" s="169" t="s">
        <v>553</v>
      </c>
    </row>
    <row r="348" ht="14" customHeight="1">
      <c r="A348" s="156" t="s">
        <v>242</v>
      </c>
      <c r="B348" s="156" t="s">
        <v>243</v>
      </c>
      <c r="C348" s="156" t="n">
        <v>5</v>
      </c>
      <c r="D348" s="156" t="n">
        <v>6</v>
      </c>
      <c r="E348" s="156" t="s">
        <v>760</v>
      </c>
      <c r="F348" s="156" t="s">
        <v>502</v>
      </c>
      <c r="G348" s="164" t="s">
        <v>528</v>
      </c>
      <c r="H348" s="169" t="n">
        <v>0.3</v>
      </c>
      <c r="I348" s="158" t="n">
        <v>0.9</v>
      </c>
      <c r="J348" s="158" t="n">
        <v>1.8</v>
      </c>
      <c r="K348" s="158" t="n">
        <v>3.6</v>
      </c>
      <c r="L348" s="169" t="s">
        <v>557</v>
      </c>
    </row>
    <row r="349" ht="14" customHeight="1">
      <c r="A349" s="167">
        <is>
          <t xml:space="preserve">  ↳ SK-LIST-01 L2 total</t>
        </is>
      </c>
      <c r="B349" s="167" t="n"/>
      <c r="C349" s="167" t="n"/>
      <c r="D349" s="167" t="n"/>
      <c r="E349" s="167" t="n"/>
      <c r="F349" s="167" t="n"/>
      <c r="G349" s="167" t="n"/>
      <c r="H349" s="167" t="n"/>
      <c r="I349" s="168" t="n">
        <v>12</v>
      </c>
      <c r="J349" s="168" t="n">
        <v>23.1</v>
      </c>
      <c r="K349" s="168" t="n">
        <v>44.1</v>
      </c>
      <c r="L349" s="167" t="s">
        <v>761</v>
      </c>
    </row>
    <row r="350" ht="14" customHeight="1">
      <c r="A350" s="156" t="s">
        <v>246</v>
      </c>
      <c r="B350" s="156" t="s">
        <v>247</v>
      </c>
      <c r="C350" s="156" t="n">
        <v>5</v>
      </c>
      <c r="D350" s="156" t="n">
        <v>1</v>
      </c>
      <c r="E350" s="156" t="s">
        <v>755</v>
      </c>
      <c r="F350" s="156" t="s">
        <v>476</v>
      </c>
      <c r="G350" s="164" t="s">
        <v>528</v>
      </c>
      <c r="H350" s="169" t="n">
        <v>0.3</v>
      </c>
      <c r="I350" s="158" t="n">
        <v>1.5</v>
      </c>
      <c r="J350" s="158" t="n">
        <v>2.4</v>
      </c>
      <c r="K350" s="158" t="n">
        <v>4.5</v>
      </c>
      <c r="L350" s="169" t="s">
        <v>542</v>
      </c>
    </row>
    <row r="351" ht="14" customHeight="1">
      <c r="A351" s="156" t="s">
        <v>246</v>
      </c>
      <c r="B351" s="156" t="s">
        <v>247</v>
      </c>
      <c r="C351" s="156" t="n">
        <v>5</v>
      </c>
      <c r="D351" s="156" t="n">
        <v>2</v>
      </c>
      <c r="E351" s="156" t="s">
        <v>777</v>
      </c>
      <c r="F351" s="156" t="s">
        <v>484</v>
      </c>
      <c r="G351" s="164" t="s">
        <v>528</v>
      </c>
      <c r="H351" s="169" t="n">
        <v>0.3</v>
      </c>
      <c r="I351" s="158" t="n">
        <v>1.5</v>
      </c>
      <c r="J351" s="158" t="n">
        <v>3</v>
      </c>
      <c r="K351" s="158" t="n">
        <v>6</v>
      </c>
      <c r="L351" s="169" t="s">
        <v>545</v>
      </c>
    </row>
    <row r="352" ht="14" customHeight="1">
      <c r="A352" s="156" t="s">
        <v>246</v>
      </c>
      <c r="B352" s="156" t="s">
        <v>247</v>
      </c>
      <c r="C352" s="156" t="n">
        <v>5</v>
      </c>
      <c r="D352" s="156" t="n">
        <v>3</v>
      </c>
      <c r="E352" s="156" t="s">
        <v>778</v>
      </c>
      <c r="F352" s="156" t="s">
        <v>487</v>
      </c>
      <c r="G352" s="164" t="s">
        <v>528</v>
      </c>
      <c r="H352" s="169" t="n">
        <v>0.3</v>
      </c>
      <c r="I352" s="158" t="n">
        <v>2.4</v>
      </c>
      <c r="J352" s="158" t="n">
        <v>5.4</v>
      </c>
      <c r="K352" s="158" t="n">
        <v>10.5</v>
      </c>
      <c r="L352" s="169" t="s">
        <v>547</v>
      </c>
    </row>
    <row r="353" ht="14" customHeight="1">
      <c r="A353" s="156" t="s">
        <v>246</v>
      </c>
      <c r="B353" s="156" t="s">
        <v>247</v>
      </c>
      <c r="C353" s="156" t="n">
        <v>5</v>
      </c>
      <c r="D353" s="156" t="n">
        <v>4</v>
      </c>
      <c r="E353" s="156" t="s">
        <v>779</v>
      </c>
      <c r="F353" s="156" t="s">
        <v>490</v>
      </c>
      <c r="G353" s="164" t="s">
        <v>528</v>
      </c>
      <c r="H353" s="169" t="n">
        <v>0.3</v>
      </c>
      <c r="I353" s="158" t="n">
        <v>1.8</v>
      </c>
      <c r="J353" s="158" t="n">
        <v>3.6</v>
      </c>
      <c r="K353" s="158" t="n">
        <v>6.6</v>
      </c>
      <c r="L353" s="169" t="s">
        <v>549</v>
      </c>
    </row>
    <row r="354" ht="14" customHeight="1">
      <c r="A354" s="156" t="s">
        <v>246</v>
      </c>
      <c r="B354" s="156" t="s">
        <v>247</v>
      </c>
      <c r="C354" s="156" t="n">
        <v>5</v>
      </c>
      <c r="D354" s="156" t="n">
        <v>5</v>
      </c>
      <c r="E354" s="156" t="s">
        <v>780</v>
      </c>
      <c r="F354" s="156" t="s">
        <v>493</v>
      </c>
      <c r="G354" s="164" t="s">
        <v>528</v>
      </c>
      <c r="H354" s="169" t="n">
        <v>0.3</v>
      </c>
      <c r="I354" s="158" t="n">
        <v>2.4</v>
      </c>
      <c r="J354" s="158" t="n">
        <v>4.8</v>
      </c>
      <c r="K354" s="158" t="n">
        <v>9</v>
      </c>
      <c r="L354" s="169" t="s">
        <v>551</v>
      </c>
    </row>
    <row r="355" ht="14" customHeight="1">
      <c r="A355" s="156" t="s">
        <v>246</v>
      </c>
      <c r="B355" s="156" t="s">
        <v>247</v>
      </c>
      <c r="C355" s="156" t="n">
        <v>5</v>
      </c>
      <c r="D355" s="156" t="n">
        <v>6</v>
      </c>
      <c r="E355" s="156" t="s">
        <v>759</v>
      </c>
      <c r="F355" s="156" t="s">
        <v>496</v>
      </c>
      <c r="G355" s="164" t="s">
        <v>528</v>
      </c>
      <c r="H355" s="169" t="n">
        <v>0.3</v>
      </c>
      <c r="I355" s="158" t="n">
        <v>3</v>
      </c>
      <c r="J355" s="158" t="n">
        <v>6</v>
      </c>
      <c r="K355" s="158" t="n">
        <v>12</v>
      </c>
      <c r="L355" s="169" t="s">
        <v>553</v>
      </c>
    </row>
    <row r="356" ht="14" customHeight="1">
      <c r="A356" s="156" t="s">
        <v>246</v>
      </c>
      <c r="B356" s="156" t="s">
        <v>247</v>
      </c>
      <c r="C356" s="156" t="n">
        <v>5</v>
      </c>
      <c r="D356" s="156" t="n">
        <v>7</v>
      </c>
      <c r="E356" s="156" t="s">
        <v>760</v>
      </c>
      <c r="F356" s="156" t="s">
        <v>502</v>
      </c>
      <c r="G356" s="164" t="s">
        <v>528</v>
      </c>
      <c r="H356" s="169" t="n">
        <v>0.3</v>
      </c>
      <c r="I356" s="158" t="n">
        <v>0.9</v>
      </c>
      <c r="J356" s="158" t="n">
        <v>1.8</v>
      </c>
      <c r="K356" s="158" t="n">
        <v>3.6</v>
      </c>
      <c r="L356" s="169" t="s">
        <v>557</v>
      </c>
    </row>
    <row r="357" ht="14" customHeight="1">
      <c r="A357" s="167">
        <is>
          <t xml:space="preserve">  ↳ SK-CREATE-01 L2 total</t>
        </is>
      </c>
      <c r="B357" s="167" t="n"/>
      <c r="C357" s="167" t="n"/>
      <c r="D357" s="167" t="n"/>
      <c r="E357" s="167" t="n"/>
      <c r="F357" s="167" t="n"/>
      <c r="G357" s="167" t="n"/>
      <c r="H357" s="167" t="n"/>
      <c r="I357" s="168" t="n">
        <v>13.5</v>
      </c>
      <c r="J357" s="168" t="n">
        <v>27</v>
      </c>
      <c r="K357" s="168" t="n">
        <v>52.2</v>
      </c>
      <c r="L357" s="167" t="s">
        <v>766</v>
      </c>
    </row>
    <row r="358" ht="14" customHeight="1">
      <c r="A358" s="156" t="s">
        <v>249</v>
      </c>
      <c r="B358" s="156" t="s">
        <v>250</v>
      </c>
      <c r="C358" s="156" t="n">
        <v>6</v>
      </c>
      <c r="D358" s="156" t="n">
        <v>1</v>
      </c>
      <c r="E358" s="156" t="s">
        <v>755</v>
      </c>
      <c r="F358" s="156" t="s">
        <v>476</v>
      </c>
      <c r="G358" s="164" t="s">
        <v>528</v>
      </c>
      <c r="H358" s="169" t="n">
        <v>0.3</v>
      </c>
      <c r="I358" s="158" t="n">
        <v>1.5</v>
      </c>
      <c r="J358" s="158" t="n">
        <v>2.4</v>
      </c>
      <c r="K358" s="158" t="n">
        <v>4.5</v>
      </c>
      <c r="L358" s="169" t="s">
        <v>542</v>
      </c>
    </row>
    <row r="359" ht="14" customHeight="1">
      <c r="A359" s="156" t="s">
        <v>249</v>
      </c>
      <c r="B359" s="156" t="s">
        <v>250</v>
      </c>
      <c r="C359" s="156" t="n">
        <v>6</v>
      </c>
      <c r="D359" s="156" t="n">
        <v>2</v>
      </c>
      <c r="E359" s="156" t="s">
        <v>781</v>
      </c>
      <c r="F359" s="156" t="s">
        <v>490</v>
      </c>
      <c r="G359" s="164" t="s">
        <v>528</v>
      </c>
      <c r="H359" s="169" t="n">
        <v>0.3</v>
      </c>
      <c r="I359" s="158" t="n">
        <v>1.8</v>
      </c>
      <c r="J359" s="158" t="n">
        <v>3.6</v>
      </c>
      <c r="K359" s="158" t="n">
        <v>6.6</v>
      </c>
      <c r="L359" s="169" t="s">
        <v>549</v>
      </c>
    </row>
    <row r="360" ht="14" customHeight="1">
      <c r="A360" s="156" t="s">
        <v>249</v>
      </c>
      <c r="B360" s="156" t="s">
        <v>250</v>
      </c>
      <c r="C360" s="156" t="n">
        <v>6</v>
      </c>
      <c r="D360" s="156" t="n">
        <v>3</v>
      </c>
      <c r="E360" s="156" t="s">
        <v>782</v>
      </c>
      <c r="F360" s="156" t="s">
        <v>493</v>
      </c>
      <c r="G360" s="164" t="s">
        <v>528</v>
      </c>
      <c r="H360" s="169" t="n">
        <v>0.3</v>
      </c>
      <c r="I360" s="158" t="n">
        <v>2.4</v>
      </c>
      <c r="J360" s="158" t="n">
        <v>4.8</v>
      </c>
      <c r="K360" s="158" t="n">
        <v>9</v>
      </c>
      <c r="L360" s="169" t="s">
        <v>551</v>
      </c>
    </row>
    <row r="361" ht="14" customHeight="1">
      <c r="A361" s="156" t="s">
        <v>249</v>
      </c>
      <c r="B361" s="156" t="s">
        <v>250</v>
      </c>
      <c r="C361" s="156" t="n">
        <v>6</v>
      </c>
      <c r="D361" s="156" t="n">
        <v>4</v>
      </c>
      <c r="E361" s="156" t="s">
        <v>759</v>
      </c>
      <c r="F361" s="156" t="s">
        <v>496</v>
      </c>
      <c r="G361" s="164" t="s">
        <v>528</v>
      </c>
      <c r="H361" s="169" t="n">
        <v>0.3</v>
      </c>
      <c r="I361" s="158" t="n">
        <v>3</v>
      </c>
      <c r="J361" s="158" t="n">
        <v>6</v>
      </c>
      <c r="K361" s="158" t="n">
        <v>12</v>
      </c>
      <c r="L361" s="169" t="s">
        <v>553</v>
      </c>
    </row>
    <row r="362" ht="14" customHeight="1">
      <c r="A362" s="156" t="s">
        <v>249</v>
      </c>
      <c r="B362" s="156" t="s">
        <v>250</v>
      </c>
      <c r="C362" s="156" t="n">
        <v>6</v>
      </c>
      <c r="D362" s="156" t="n">
        <v>5</v>
      </c>
      <c r="E362" s="156" t="s">
        <v>760</v>
      </c>
      <c r="F362" s="156" t="s">
        <v>502</v>
      </c>
      <c r="G362" s="164" t="s">
        <v>528</v>
      </c>
      <c r="H362" s="169" t="n">
        <v>0.3</v>
      </c>
      <c r="I362" s="158" t="n">
        <v>0.9</v>
      </c>
      <c r="J362" s="158" t="n">
        <v>1.8</v>
      </c>
      <c r="K362" s="158" t="n">
        <v>3.6</v>
      </c>
      <c r="L362" s="169" t="s">
        <v>557</v>
      </c>
    </row>
    <row r="363" ht="14" customHeight="1">
      <c r="A363" s="167">
        <is>
          <t xml:space="preserve">  ↳ SK-VIEW-01 L2 total</t>
        </is>
      </c>
      <c r="B363" s="167" t="n"/>
      <c r="C363" s="167" t="n"/>
      <c r="D363" s="167" t="n"/>
      <c r="E363" s="167" t="n"/>
      <c r="F363" s="167" t="n"/>
      <c r="G363" s="167" t="n"/>
      <c r="H363" s="167" t="n"/>
      <c r="I363" s="168" t="n">
        <v>9.6</v>
      </c>
      <c r="J363" s="168" t="n">
        <v>18.6</v>
      </c>
      <c r="K363" s="168" t="n">
        <v>35.7</v>
      </c>
      <c r="L363" s="167" t="s">
        <v>769</v>
      </c>
    </row>
    <row r="364" ht="14" customHeight="1">
      <c r="A364" s="156" t="s">
        <v>253</v>
      </c>
      <c r="B364" s="156" t="s">
        <v>254</v>
      </c>
      <c r="C364" s="156" t="n">
        <v>6</v>
      </c>
      <c r="D364" s="156" t="n">
        <v>1</v>
      </c>
      <c r="E364" s="156" t="s">
        <v>755</v>
      </c>
      <c r="F364" s="156" t="s">
        <v>476</v>
      </c>
      <c r="G364" s="164" t="s">
        <v>528</v>
      </c>
      <c r="H364" s="169" t="n">
        <v>0.3</v>
      </c>
      <c r="I364" s="158" t="n">
        <v>1.5</v>
      </c>
      <c r="J364" s="158" t="n">
        <v>2.4</v>
      </c>
      <c r="K364" s="158" t="n">
        <v>4.5</v>
      </c>
      <c r="L364" s="169" t="s">
        <v>542</v>
      </c>
    </row>
    <row r="365" ht="14" customHeight="1">
      <c r="A365" s="156" t="s">
        <v>253</v>
      </c>
      <c r="B365" s="156" t="s">
        <v>254</v>
      </c>
      <c r="C365" s="156" t="n">
        <v>6</v>
      </c>
      <c r="D365" s="156" t="n">
        <v>2</v>
      </c>
      <c r="E365" s="156" t="s">
        <v>783</v>
      </c>
      <c r="F365" s="156" t="s">
        <v>490</v>
      </c>
      <c r="G365" s="164" t="s">
        <v>528</v>
      </c>
      <c r="H365" s="169" t="n">
        <v>0.3</v>
      </c>
      <c r="I365" s="158" t="n">
        <v>1.8</v>
      </c>
      <c r="J365" s="158" t="n">
        <v>3.6</v>
      </c>
      <c r="K365" s="158" t="n">
        <v>6.6</v>
      </c>
      <c r="L365" s="169" t="s">
        <v>549</v>
      </c>
    </row>
    <row r="366" ht="14" customHeight="1">
      <c r="A366" s="156" t="s">
        <v>253</v>
      </c>
      <c r="B366" s="156" t="s">
        <v>254</v>
      </c>
      <c r="C366" s="156" t="n">
        <v>6</v>
      </c>
      <c r="D366" s="156" t="n">
        <v>3</v>
      </c>
      <c r="E366" s="156" t="s">
        <v>784</v>
      </c>
      <c r="F366" s="156" t="s">
        <v>493</v>
      </c>
      <c r="G366" s="164" t="s">
        <v>528</v>
      </c>
      <c r="H366" s="169" t="n">
        <v>0.3</v>
      </c>
      <c r="I366" s="158" t="n">
        <v>2.4</v>
      </c>
      <c r="J366" s="158" t="n">
        <v>4.8</v>
      </c>
      <c r="K366" s="158" t="n">
        <v>9</v>
      </c>
      <c r="L366" s="169" t="s">
        <v>551</v>
      </c>
    </row>
    <row r="367" ht="14" customHeight="1">
      <c r="A367" s="156" t="s">
        <v>253</v>
      </c>
      <c r="B367" s="156" t="s">
        <v>254</v>
      </c>
      <c r="C367" s="156" t="n">
        <v>6</v>
      </c>
      <c r="D367" s="156" t="n">
        <v>4</v>
      </c>
      <c r="E367" s="156" t="s">
        <v>759</v>
      </c>
      <c r="F367" s="156" t="s">
        <v>496</v>
      </c>
      <c r="G367" s="164" t="s">
        <v>528</v>
      </c>
      <c r="H367" s="169" t="n">
        <v>0.3</v>
      </c>
      <c r="I367" s="158" t="n">
        <v>3</v>
      </c>
      <c r="J367" s="158" t="n">
        <v>6</v>
      </c>
      <c r="K367" s="158" t="n">
        <v>12</v>
      </c>
      <c r="L367" s="169" t="s">
        <v>553</v>
      </c>
    </row>
    <row r="368" ht="14" customHeight="1">
      <c r="A368" s="156" t="s">
        <v>253</v>
      </c>
      <c r="B368" s="156" t="s">
        <v>254</v>
      </c>
      <c r="C368" s="156" t="n">
        <v>6</v>
      </c>
      <c r="D368" s="156" t="n">
        <v>5</v>
      </c>
      <c r="E368" s="156" t="s">
        <v>760</v>
      </c>
      <c r="F368" s="156" t="s">
        <v>502</v>
      </c>
      <c r="G368" s="164" t="s">
        <v>528</v>
      </c>
      <c r="H368" s="169" t="n">
        <v>0.3</v>
      </c>
      <c r="I368" s="158" t="n">
        <v>0.9</v>
      </c>
      <c r="J368" s="158" t="n">
        <v>1.8</v>
      </c>
      <c r="K368" s="158" t="n">
        <v>3.6</v>
      </c>
      <c r="L368" s="169" t="s">
        <v>557</v>
      </c>
    </row>
    <row r="369" ht="14" customHeight="1">
      <c r="A369" s="167">
        <is>
          <t xml:space="preserve">  ↳ SK-EDIT-01 L2 total</t>
        </is>
      </c>
      <c r="B369" s="167" t="n"/>
      <c r="C369" s="167" t="n"/>
      <c r="D369" s="167" t="n"/>
      <c r="E369" s="167" t="n"/>
      <c r="F369" s="167" t="n"/>
      <c r="G369" s="167" t="n"/>
      <c r="H369" s="167" t="n"/>
      <c r="I369" s="168" t="n">
        <v>9.6</v>
      </c>
      <c r="J369" s="168" t="n">
        <v>18.6</v>
      </c>
      <c r="K369" s="168" t="n">
        <v>35.7</v>
      </c>
      <c r="L369" s="167" t="s">
        <v>769</v>
      </c>
    </row>
    <row r="370" ht="14" customHeight="1">
      <c r="A370" s="156" t="s">
        <v>256</v>
      </c>
      <c r="B370" s="156" t="s">
        <v>257</v>
      </c>
      <c r="C370" s="156" t="n">
        <v>6</v>
      </c>
      <c r="D370" s="156" t="n">
        <v>1</v>
      </c>
      <c r="E370" s="156" t="s">
        <v>755</v>
      </c>
      <c r="F370" s="156" t="s">
        <v>476</v>
      </c>
      <c r="G370" s="164" t="s">
        <v>528</v>
      </c>
      <c r="H370" s="169" t="n">
        <v>0.3</v>
      </c>
      <c r="I370" s="158" t="n">
        <v>1.5</v>
      </c>
      <c r="J370" s="158" t="n">
        <v>2.4</v>
      </c>
      <c r="K370" s="158" t="n">
        <v>4.5</v>
      </c>
      <c r="L370" s="169" t="s">
        <v>542</v>
      </c>
    </row>
    <row r="371" ht="14" customHeight="1">
      <c r="A371" s="156" t="s">
        <v>256</v>
      </c>
      <c r="B371" s="156" t="s">
        <v>257</v>
      </c>
      <c r="C371" s="156" t="n">
        <v>6</v>
      </c>
      <c r="D371" s="156" t="n">
        <v>2</v>
      </c>
      <c r="E371" s="156" t="s">
        <v>785</v>
      </c>
      <c r="F371" s="156" t="s">
        <v>490</v>
      </c>
      <c r="G371" s="164" t="s">
        <v>528</v>
      </c>
      <c r="H371" s="169" t="n">
        <v>0.3</v>
      </c>
      <c r="I371" s="158" t="n">
        <v>1.8</v>
      </c>
      <c r="J371" s="158" t="n">
        <v>3.6</v>
      </c>
      <c r="K371" s="158" t="n">
        <v>6.6</v>
      </c>
      <c r="L371" s="169" t="s">
        <v>549</v>
      </c>
    </row>
    <row r="372" ht="14" customHeight="1">
      <c r="A372" s="156" t="s">
        <v>256</v>
      </c>
      <c r="B372" s="156" t="s">
        <v>257</v>
      </c>
      <c r="C372" s="156" t="n">
        <v>6</v>
      </c>
      <c r="D372" s="156" t="n">
        <v>3</v>
      </c>
      <c r="E372" s="156" t="s">
        <v>773</v>
      </c>
      <c r="F372" s="156" t="s">
        <v>493</v>
      </c>
      <c r="G372" s="164" t="s">
        <v>528</v>
      </c>
      <c r="H372" s="169" t="n">
        <v>0.3</v>
      </c>
      <c r="I372" s="158" t="n">
        <v>2.4</v>
      </c>
      <c r="J372" s="158" t="n">
        <v>4.8</v>
      </c>
      <c r="K372" s="158" t="n">
        <v>9</v>
      </c>
      <c r="L372" s="169" t="s">
        <v>551</v>
      </c>
    </row>
    <row r="373" ht="14" customHeight="1">
      <c r="A373" s="156" t="s">
        <v>256</v>
      </c>
      <c r="B373" s="156" t="s">
        <v>257</v>
      </c>
      <c r="C373" s="156" t="n">
        <v>6</v>
      </c>
      <c r="D373" s="156" t="n">
        <v>4</v>
      </c>
      <c r="E373" s="156" t="s">
        <v>759</v>
      </c>
      <c r="F373" s="156" t="s">
        <v>496</v>
      </c>
      <c r="G373" s="164" t="s">
        <v>528</v>
      </c>
      <c r="H373" s="169" t="n">
        <v>0.3</v>
      </c>
      <c r="I373" s="158" t="n">
        <v>3</v>
      </c>
      <c r="J373" s="158" t="n">
        <v>6</v>
      </c>
      <c r="K373" s="158" t="n">
        <v>12</v>
      </c>
      <c r="L373" s="169" t="s">
        <v>553</v>
      </c>
    </row>
    <row r="374" ht="14" customHeight="1">
      <c r="A374" s="156" t="s">
        <v>256</v>
      </c>
      <c r="B374" s="156" t="s">
        <v>257</v>
      </c>
      <c r="C374" s="156" t="n">
        <v>6</v>
      </c>
      <c r="D374" s="156" t="n">
        <v>5</v>
      </c>
      <c r="E374" s="156" t="s">
        <v>760</v>
      </c>
      <c r="F374" s="156" t="s">
        <v>502</v>
      </c>
      <c r="G374" s="164" t="s">
        <v>528</v>
      </c>
      <c r="H374" s="169" t="n">
        <v>0.3</v>
      </c>
      <c r="I374" s="158" t="n">
        <v>0.9</v>
      </c>
      <c r="J374" s="158" t="n">
        <v>1.8</v>
      </c>
      <c r="K374" s="158" t="n">
        <v>3.6</v>
      </c>
      <c r="L374" s="169" t="s">
        <v>557</v>
      </c>
    </row>
    <row r="375" ht="14" customHeight="1">
      <c r="A375" s="167">
        <is>
          <t xml:space="preserve">  ↳ SK-DELETE-01 L2 total</t>
        </is>
      </c>
      <c r="B375" s="167" t="n"/>
      <c r="C375" s="167" t="n"/>
      <c r="D375" s="167" t="n"/>
      <c r="E375" s="167" t="n"/>
      <c r="F375" s="167" t="n"/>
      <c r="G375" s="167" t="n"/>
      <c r="H375" s="167" t="n"/>
      <c r="I375" s="168" t="n">
        <v>9.6</v>
      </c>
      <c r="J375" s="168" t="n">
        <v>18.6</v>
      </c>
      <c r="K375" s="168" t="n">
        <v>35.7</v>
      </c>
      <c r="L375" s="167" t="s">
        <v>769</v>
      </c>
    </row>
    <row r="376" ht="14" customHeight="1">
      <c r="A376" s="145" t="s">
        <v>259</v>
      </c>
      <c r="B376" s="145" t="s">
        <v>260</v>
      </c>
      <c r="C376" s="145" t="n">
        <v>6</v>
      </c>
      <c r="D376" s="145" t="n">
        <v>1</v>
      </c>
      <c r="E376" s="145" t="s">
        <v>755</v>
      </c>
      <c r="F376" s="145" t="s">
        <v>476</v>
      </c>
      <c r="G376" s="164" t="s">
        <v>528</v>
      </c>
      <c r="H376" s="147" t="n">
        <v>0.3</v>
      </c>
      <c r="I376" s="148" t="n">
        <v>1.5</v>
      </c>
      <c r="J376" s="148" t="n">
        <v>2.4</v>
      </c>
      <c r="K376" s="148" t="n">
        <v>4.5</v>
      </c>
      <c r="L376" s="147" t="s">
        <v>542</v>
      </c>
    </row>
    <row r="377" ht="14" customHeight="1">
      <c r="A377" s="145" t="s">
        <v>259</v>
      </c>
      <c r="B377" s="145" t="s">
        <v>260</v>
      </c>
      <c r="C377" s="145" t="n">
        <v>6</v>
      </c>
      <c r="D377" s="145" t="n">
        <v>2</v>
      </c>
      <c r="E377" s="145" t="s">
        <v>786</v>
      </c>
      <c r="F377" s="145" t="s">
        <v>487</v>
      </c>
      <c r="G377" s="164" t="s">
        <v>528</v>
      </c>
      <c r="H377" s="147" t="n">
        <v>0.3</v>
      </c>
      <c r="I377" s="148" t="n">
        <v>2.4</v>
      </c>
      <c r="J377" s="148" t="n">
        <v>5.4</v>
      </c>
      <c r="K377" s="148" t="n">
        <v>10.5</v>
      </c>
      <c r="L377" s="147" t="s">
        <v>547</v>
      </c>
    </row>
    <row r="378" ht="14" customHeight="1">
      <c r="A378" s="145" t="s">
        <v>259</v>
      </c>
      <c r="B378" s="145" t="s">
        <v>260</v>
      </c>
      <c r="C378" s="145" t="n">
        <v>6</v>
      </c>
      <c r="D378" s="145" t="n">
        <v>3</v>
      </c>
      <c r="E378" s="145" t="s">
        <v>787</v>
      </c>
      <c r="F378" s="145" t="s">
        <v>490</v>
      </c>
      <c r="G378" s="164" t="s">
        <v>528</v>
      </c>
      <c r="H378" s="147" t="n">
        <v>0.3</v>
      </c>
      <c r="I378" s="148" t="n">
        <v>1.8</v>
      </c>
      <c r="J378" s="148" t="n">
        <v>3.6</v>
      </c>
      <c r="K378" s="148" t="n">
        <v>6.6</v>
      </c>
      <c r="L378" s="147" t="s">
        <v>549</v>
      </c>
    </row>
    <row r="379" ht="14" customHeight="1">
      <c r="A379" s="145" t="s">
        <v>259</v>
      </c>
      <c r="B379" s="145" t="s">
        <v>260</v>
      </c>
      <c r="C379" s="145" t="n">
        <v>6</v>
      </c>
      <c r="D379" s="145" t="n">
        <v>4</v>
      </c>
      <c r="E379" s="145" t="s">
        <v>788</v>
      </c>
      <c r="F379" s="145" t="s">
        <v>493</v>
      </c>
      <c r="G379" s="164" t="s">
        <v>528</v>
      </c>
      <c r="H379" s="147" t="n">
        <v>0.3</v>
      </c>
      <c r="I379" s="148" t="n">
        <v>2.4</v>
      </c>
      <c r="J379" s="148" t="n">
        <v>4.8</v>
      </c>
      <c r="K379" s="148" t="n">
        <v>9</v>
      </c>
      <c r="L379" s="147" t="s">
        <v>551</v>
      </c>
    </row>
    <row r="380" ht="14" customHeight="1">
      <c r="A380" s="145" t="s">
        <v>259</v>
      </c>
      <c r="B380" s="145" t="s">
        <v>260</v>
      </c>
      <c r="C380" s="145" t="n">
        <v>6</v>
      </c>
      <c r="D380" s="145" t="n">
        <v>5</v>
      </c>
      <c r="E380" s="145" t="s">
        <v>759</v>
      </c>
      <c r="F380" s="145" t="s">
        <v>496</v>
      </c>
      <c r="G380" s="164" t="s">
        <v>528</v>
      </c>
      <c r="H380" s="147" t="n">
        <v>0.3</v>
      </c>
      <c r="I380" s="148" t="n">
        <v>3</v>
      </c>
      <c r="J380" s="148" t="n">
        <v>6</v>
      </c>
      <c r="K380" s="148" t="n">
        <v>12</v>
      </c>
      <c r="L380" s="147" t="s">
        <v>553</v>
      </c>
    </row>
    <row r="381" ht="14" customHeight="1">
      <c r="A381" s="145" t="s">
        <v>259</v>
      </c>
      <c r="B381" s="145" t="s">
        <v>260</v>
      </c>
      <c r="C381" s="145" t="n">
        <v>6</v>
      </c>
      <c r="D381" s="145" t="n">
        <v>6</v>
      </c>
      <c r="E381" s="145" t="s">
        <v>760</v>
      </c>
      <c r="F381" s="145" t="s">
        <v>502</v>
      </c>
      <c r="G381" s="164" t="s">
        <v>528</v>
      </c>
      <c r="H381" s="147" t="n">
        <v>0.3</v>
      </c>
      <c r="I381" s="148" t="n">
        <v>0.9</v>
      </c>
      <c r="J381" s="148" t="n">
        <v>1.8</v>
      </c>
      <c r="K381" s="148" t="n">
        <v>3.6</v>
      </c>
      <c r="L381" s="147" t="s">
        <v>557</v>
      </c>
    </row>
    <row r="382" ht="14" customHeight="1">
      <c r="A382" s="167">
        <is>
          <t xml:space="preserve">  ↳ SK-LINK-01 L2 total</t>
        </is>
      </c>
      <c r="B382" s="167" t="n"/>
      <c r="C382" s="167" t="n"/>
      <c r="D382" s="167" t="n"/>
      <c r="E382" s="167" t="n"/>
      <c r="F382" s="167" t="n"/>
      <c r="G382" s="167" t="n"/>
      <c r="H382" s="167" t="n"/>
      <c r="I382" s="168" t="n">
        <v>12</v>
      </c>
      <c r="J382" s="168" t="n">
        <v>24</v>
      </c>
      <c r="K382" s="168" t="n">
        <v>46.2</v>
      </c>
      <c r="L382" s="167" t="s">
        <v>789</v>
      </c>
    </row>
    <row r="383" ht="14" customHeight="1">
      <c r="A383" s="156" t="s">
        <v>263</v>
      </c>
      <c r="B383" s="156" t="s">
        <v>264</v>
      </c>
      <c r="C383" s="156" t="n">
        <v>6</v>
      </c>
      <c r="D383" s="156" t="n">
        <v>1</v>
      </c>
      <c r="E383" s="156" t="s">
        <v>790</v>
      </c>
      <c r="F383" s="156" t="s">
        <v>476</v>
      </c>
      <c r="G383" s="146" t="s">
        <v>477</v>
      </c>
      <c r="H383" s="169" t="n">
        <v>1</v>
      </c>
      <c r="I383" s="158" t="n">
        <v>5</v>
      </c>
      <c r="J383" s="158" t="n">
        <v>8</v>
      </c>
      <c r="K383" s="158" t="n">
        <v>15</v>
      </c>
      <c r="L383" s="169" t="s">
        <v>478</v>
      </c>
    </row>
    <row r="384" ht="14" customHeight="1">
      <c r="A384" s="156" t="s">
        <v>263</v>
      </c>
      <c r="B384" s="156" t="s">
        <v>264</v>
      </c>
      <c r="C384" s="156" t="n">
        <v>6</v>
      </c>
      <c r="D384" s="156" t="n">
        <v>2</v>
      </c>
      <c r="E384" s="156" t="s">
        <v>791</v>
      </c>
      <c r="F384" s="156" t="s">
        <v>480</v>
      </c>
      <c r="G384" s="146" t="s">
        <v>477</v>
      </c>
      <c r="H384" s="169" t="n">
        <v>1</v>
      </c>
      <c r="I384" s="158" t="n">
        <v>8</v>
      </c>
      <c r="J384" s="158" t="n">
        <v>15</v>
      </c>
      <c r="K384" s="158" t="n">
        <v>28</v>
      </c>
      <c r="L384" s="169" t="s">
        <v>518</v>
      </c>
    </row>
    <row r="385" ht="14" customHeight="1">
      <c r="A385" s="156" t="s">
        <v>263</v>
      </c>
      <c r="B385" s="156" t="s">
        <v>264</v>
      </c>
      <c r="C385" s="156" t="n">
        <v>6</v>
      </c>
      <c r="D385" s="156" t="n">
        <v>3</v>
      </c>
      <c r="E385" s="156" t="s">
        <v>792</v>
      </c>
      <c r="F385" s="156" t="s">
        <v>484</v>
      </c>
      <c r="G385" s="146" t="s">
        <v>477</v>
      </c>
      <c r="H385" s="169" t="n">
        <v>1</v>
      </c>
      <c r="I385" s="158" t="n">
        <v>5</v>
      </c>
      <c r="J385" s="158" t="n">
        <v>10</v>
      </c>
      <c r="K385" s="158" t="n">
        <v>20</v>
      </c>
      <c r="L385" s="169" t="s">
        <v>485</v>
      </c>
    </row>
    <row r="386" ht="14" customHeight="1">
      <c r="A386" s="156" t="s">
        <v>263</v>
      </c>
      <c r="B386" s="156" t="s">
        <v>264</v>
      </c>
      <c r="C386" s="156" t="n">
        <v>6</v>
      </c>
      <c r="D386" s="156" t="n">
        <v>4</v>
      </c>
      <c r="E386" s="156" t="s">
        <v>793</v>
      </c>
      <c r="F386" s="156" t="s">
        <v>487</v>
      </c>
      <c r="G386" s="146" t="s">
        <v>477</v>
      </c>
      <c r="H386" s="169" t="n">
        <v>1</v>
      </c>
      <c r="I386" s="158" t="n">
        <v>8</v>
      </c>
      <c r="J386" s="158" t="n">
        <v>18</v>
      </c>
      <c r="K386" s="158" t="n">
        <v>35</v>
      </c>
      <c r="L386" s="169" t="s">
        <v>488</v>
      </c>
    </row>
    <row r="387" ht="14" customHeight="1">
      <c r="A387" s="156" t="s">
        <v>263</v>
      </c>
      <c r="B387" s="156" t="s">
        <v>264</v>
      </c>
      <c r="C387" s="156" t="n">
        <v>6</v>
      </c>
      <c r="D387" s="156" t="n">
        <v>5</v>
      </c>
      <c r="E387" s="156" t="s">
        <v>794</v>
      </c>
      <c r="F387" s="156" t="s">
        <v>490</v>
      </c>
      <c r="G387" s="146" t="s">
        <v>477</v>
      </c>
      <c r="H387" s="169" t="n">
        <v>1</v>
      </c>
      <c r="I387" s="158" t="n">
        <v>6</v>
      </c>
      <c r="J387" s="158" t="n">
        <v>12</v>
      </c>
      <c r="K387" s="158" t="n">
        <v>22</v>
      </c>
      <c r="L387" s="169" t="s">
        <v>491</v>
      </c>
    </row>
    <row r="388" ht="14" customHeight="1">
      <c r="A388" s="156" t="s">
        <v>263</v>
      </c>
      <c r="B388" s="156" t="s">
        <v>264</v>
      </c>
      <c r="C388" s="156" t="n">
        <v>6</v>
      </c>
      <c r="D388" s="156" t="n">
        <v>6</v>
      </c>
      <c r="E388" s="156" t="s">
        <v>795</v>
      </c>
      <c r="F388" s="156" t="s">
        <v>493</v>
      </c>
      <c r="G388" s="149" t="s">
        <v>481</v>
      </c>
      <c r="H388" s="169" t="n">
        <v>0.6</v>
      </c>
      <c r="I388" s="158" t="n">
        <v>4.8</v>
      </c>
      <c r="J388" s="158" t="n">
        <v>9.6</v>
      </c>
      <c r="K388" s="158" t="n">
        <v>18</v>
      </c>
      <c r="L388" s="169" t="s">
        <v>576</v>
      </c>
    </row>
    <row r="389" ht="14" customHeight="1">
      <c r="A389" s="156" t="s">
        <v>263</v>
      </c>
      <c r="B389" s="156" t="s">
        <v>264</v>
      </c>
      <c r="C389" s="156" t="n">
        <v>6</v>
      </c>
      <c r="D389" s="156" t="n">
        <v>7</v>
      </c>
      <c r="E389" s="156" t="s">
        <v>796</v>
      </c>
      <c r="F389" s="156" t="s">
        <v>496</v>
      </c>
      <c r="G389" s="146" t="s">
        <v>477</v>
      </c>
      <c r="H389" s="169" t="n">
        <v>1</v>
      </c>
      <c r="I389" s="158" t="n">
        <v>10</v>
      </c>
      <c r="J389" s="158" t="n">
        <v>20</v>
      </c>
      <c r="K389" s="158" t="n">
        <v>40</v>
      </c>
      <c r="L389" s="169" t="s">
        <v>497</v>
      </c>
    </row>
    <row r="390" ht="14" customHeight="1">
      <c r="A390" s="156" t="s">
        <v>263</v>
      </c>
      <c r="B390" s="156" t="s">
        <v>264</v>
      </c>
      <c r="C390" s="156" t="n">
        <v>6</v>
      </c>
      <c r="D390" s="156" t="n">
        <v>8</v>
      </c>
      <c r="E390" s="156" t="s">
        <v>797</v>
      </c>
      <c r="F390" s="156" t="s">
        <v>499</v>
      </c>
      <c r="G390" s="146" t="s">
        <v>477</v>
      </c>
      <c r="H390" s="169" t="n">
        <v>1</v>
      </c>
      <c r="I390" s="158" t="n">
        <v>8</v>
      </c>
      <c r="J390" s="158" t="n">
        <v>15</v>
      </c>
      <c r="K390" s="158" t="n">
        <v>28</v>
      </c>
      <c r="L390" s="169" t="s">
        <v>500</v>
      </c>
    </row>
    <row r="391" ht="14" customHeight="1">
      <c r="A391" s="156" t="s">
        <v>263</v>
      </c>
      <c r="B391" s="156" t="s">
        <v>264</v>
      </c>
      <c r="C391" s="156" t="n">
        <v>6</v>
      </c>
      <c r="D391" s="156" t="n">
        <v>9</v>
      </c>
      <c r="E391" s="156" t="s">
        <v>501</v>
      </c>
      <c r="F391" s="156" t="s">
        <v>502</v>
      </c>
      <c r="G391" s="146" t="s">
        <v>477</v>
      </c>
      <c r="H391" s="169" t="n">
        <v>1</v>
      </c>
      <c r="I391" s="158" t="n">
        <v>3</v>
      </c>
      <c r="J391" s="158" t="n">
        <v>6</v>
      </c>
      <c r="K391" s="158" t="n">
        <v>12</v>
      </c>
      <c r="L391" s="169" t="s">
        <v>503</v>
      </c>
    </row>
    <row r="392" ht="14" customHeight="1">
      <c r="A392" s="167">
        <is>
          <t xml:space="preserve">  ↳ PIP-CREATE-01 L2 total</t>
        </is>
      </c>
      <c r="B392" s="167" t="n"/>
      <c r="C392" s="167" t="n"/>
      <c r="D392" s="167" t="n"/>
      <c r="E392" s="167" t="n"/>
      <c r="F392" s="167" t="n"/>
      <c r="G392" s="167" t="n"/>
      <c r="H392" s="167" t="n"/>
      <c r="I392" s="168" t="n">
        <v>57.8</v>
      </c>
      <c r="J392" s="168" t="n">
        <v>113.6</v>
      </c>
      <c r="K392" s="168" t="n">
        <v>218</v>
      </c>
      <c r="L392" s="167" t="s">
        <v>798</v>
      </c>
    </row>
    <row r="393" ht="14" customHeight="1">
      <c r="A393" s="145" t="s">
        <v>268</v>
      </c>
      <c r="B393" s="145" t="s">
        <v>269</v>
      </c>
      <c r="C393" s="145" t="n">
        <v>6</v>
      </c>
      <c r="D393" s="145" t="n">
        <v>1</v>
      </c>
      <c r="E393" s="145" t="s">
        <v>799</v>
      </c>
      <c r="F393" s="145" t="s">
        <v>476</v>
      </c>
      <c r="G393" s="146" t="s">
        <v>477</v>
      </c>
      <c r="H393" s="147" t="n">
        <v>1</v>
      </c>
      <c r="I393" s="148" t="n">
        <v>5</v>
      </c>
      <c r="J393" s="148" t="n">
        <v>8</v>
      </c>
      <c r="K393" s="148" t="n">
        <v>15</v>
      </c>
      <c r="L393" s="147" t="s">
        <v>478</v>
      </c>
    </row>
    <row r="394" ht="14" customHeight="1">
      <c r="A394" s="145" t="s">
        <v>268</v>
      </c>
      <c r="B394" s="145" t="s">
        <v>269</v>
      </c>
      <c r="C394" s="145" t="n">
        <v>6</v>
      </c>
      <c r="D394" s="145" t="n">
        <v>2</v>
      </c>
      <c r="E394" s="145" t="s">
        <v>800</v>
      </c>
      <c r="F394" s="145" t="s">
        <v>484</v>
      </c>
      <c r="G394" s="146" t="s">
        <v>477</v>
      </c>
      <c r="H394" s="147" t="n">
        <v>1</v>
      </c>
      <c r="I394" s="148" t="n">
        <v>5</v>
      </c>
      <c r="J394" s="148" t="n">
        <v>10</v>
      </c>
      <c r="K394" s="148" t="n">
        <v>20</v>
      </c>
      <c r="L394" s="147" t="s">
        <v>485</v>
      </c>
    </row>
    <row r="395" ht="14" customHeight="1">
      <c r="A395" s="145" t="s">
        <v>268</v>
      </c>
      <c r="B395" s="145" t="s">
        <v>269</v>
      </c>
      <c r="C395" s="145" t="n">
        <v>6</v>
      </c>
      <c r="D395" s="145" t="n">
        <v>3</v>
      </c>
      <c r="E395" s="145" t="s">
        <v>801</v>
      </c>
      <c r="F395" s="145" t="s">
        <v>487</v>
      </c>
      <c r="G395" s="146" t="s">
        <v>477</v>
      </c>
      <c r="H395" s="147" t="n">
        <v>1</v>
      </c>
      <c r="I395" s="148" t="n">
        <v>8</v>
      </c>
      <c r="J395" s="148" t="n">
        <v>18</v>
      </c>
      <c r="K395" s="148" t="n">
        <v>35</v>
      </c>
      <c r="L395" s="147" t="s">
        <v>488</v>
      </c>
    </row>
    <row r="396" ht="14" customHeight="1">
      <c r="A396" s="145" t="s">
        <v>268</v>
      </c>
      <c r="B396" s="145" t="s">
        <v>269</v>
      </c>
      <c r="C396" s="145" t="n">
        <v>6</v>
      </c>
      <c r="D396" s="145" t="n">
        <v>4</v>
      </c>
      <c r="E396" s="145" t="s">
        <v>802</v>
      </c>
      <c r="F396" s="145" t="s">
        <v>490</v>
      </c>
      <c r="G396" s="146" t="s">
        <v>477</v>
      </c>
      <c r="H396" s="147" t="n">
        <v>1</v>
      </c>
      <c r="I396" s="148" t="n">
        <v>6</v>
      </c>
      <c r="J396" s="148" t="n">
        <v>12</v>
      </c>
      <c r="K396" s="148" t="n">
        <v>22</v>
      </c>
      <c r="L396" s="147" t="s">
        <v>491</v>
      </c>
    </row>
    <row r="397" ht="14" customHeight="1">
      <c r="A397" s="145" t="s">
        <v>268</v>
      </c>
      <c r="B397" s="145" t="s">
        <v>269</v>
      </c>
      <c r="C397" s="145" t="n">
        <v>6</v>
      </c>
      <c r="D397" s="145" t="n">
        <v>5</v>
      </c>
      <c r="E397" s="145" t="s">
        <v>803</v>
      </c>
      <c r="F397" s="145" t="s">
        <v>493</v>
      </c>
      <c r="G397" s="146" t="s">
        <v>477</v>
      </c>
      <c r="H397" s="147" t="n">
        <v>1</v>
      </c>
      <c r="I397" s="148" t="n">
        <v>8</v>
      </c>
      <c r="J397" s="148" t="n">
        <v>16</v>
      </c>
      <c r="K397" s="148" t="n">
        <v>30</v>
      </c>
      <c r="L397" s="147" t="s">
        <v>494</v>
      </c>
    </row>
    <row r="398" ht="14" customHeight="1">
      <c r="A398" s="145" t="s">
        <v>268</v>
      </c>
      <c r="B398" s="145" t="s">
        <v>269</v>
      </c>
      <c r="C398" s="145" t="n">
        <v>6</v>
      </c>
      <c r="D398" s="145" t="n">
        <v>6</v>
      </c>
      <c r="E398" s="145" t="s">
        <v>804</v>
      </c>
      <c r="F398" s="145" t="s">
        <v>805</v>
      </c>
      <c r="G398" s="146" t="s">
        <v>477</v>
      </c>
      <c r="H398" s="147" t="n">
        <v>1</v>
      </c>
      <c r="I398" s="148" t="n">
        <v>5</v>
      </c>
      <c r="J398" s="148" t="n">
        <v>10</v>
      </c>
      <c r="K398" s="148" t="n">
        <v>18</v>
      </c>
      <c r="L398" s="147" t="s">
        <v>806</v>
      </c>
    </row>
    <row r="399" ht="14" customHeight="1">
      <c r="A399" s="145" t="s">
        <v>268</v>
      </c>
      <c r="B399" s="145" t="s">
        <v>269</v>
      </c>
      <c r="C399" s="145" t="n">
        <v>6</v>
      </c>
      <c r="D399" s="145" t="n">
        <v>7</v>
      </c>
      <c r="E399" s="145" t="s">
        <v>807</v>
      </c>
      <c r="F399" s="145" t="s">
        <v>496</v>
      </c>
      <c r="G399" s="146" t="s">
        <v>477</v>
      </c>
      <c r="H399" s="147" t="n">
        <v>1</v>
      </c>
      <c r="I399" s="148" t="n">
        <v>10</v>
      </c>
      <c r="J399" s="148" t="n">
        <v>20</v>
      </c>
      <c r="K399" s="148" t="n">
        <v>40</v>
      </c>
      <c r="L399" s="147" t="s">
        <v>497</v>
      </c>
    </row>
    <row r="400" ht="14" customHeight="1">
      <c r="A400" s="145" t="s">
        <v>268</v>
      </c>
      <c r="B400" s="145" t="s">
        <v>269</v>
      </c>
      <c r="C400" s="145" t="n">
        <v>6</v>
      </c>
      <c r="D400" s="145" t="n">
        <v>8</v>
      </c>
      <c r="E400" s="145" t="s">
        <v>808</v>
      </c>
      <c r="F400" s="145" t="s">
        <v>499</v>
      </c>
      <c r="G400" s="146" t="s">
        <v>477</v>
      </c>
      <c r="H400" s="147" t="n">
        <v>1</v>
      </c>
      <c r="I400" s="148" t="n">
        <v>8</v>
      </c>
      <c r="J400" s="148" t="n">
        <v>15</v>
      </c>
      <c r="K400" s="148" t="n">
        <v>28</v>
      </c>
      <c r="L400" s="147" t="s">
        <v>500</v>
      </c>
    </row>
    <row r="401" ht="14" customHeight="1">
      <c r="A401" s="145" t="s">
        <v>268</v>
      </c>
      <c r="B401" s="145" t="s">
        <v>269</v>
      </c>
      <c r="C401" s="145" t="n">
        <v>6</v>
      </c>
      <c r="D401" s="145" t="n">
        <v>9</v>
      </c>
      <c r="E401" s="145" t="s">
        <v>501</v>
      </c>
      <c r="F401" s="145" t="s">
        <v>502</v>
      </c>
      <c r="G401" s="146" t="s">
        <v>477</v>
      </c>
      <c r="H401" s="147" t="n">
        <v>1</v>
      </c>
      <c r="I401" s="148" t="n">
        <v>3</v>
      </c>
      <c r="J401" s="148" t="n">
        <v>6</v>
      </c>
      <c r="K401" s="148" t="n">
        <v>12</v>
      </c>
      <c r="L401" s="147" t="s">
        <v>503</v>
      </c>
    </row>
    <row r="402" ht="14" customHeight="1">
      <c r="A402" s="145" t="s">
        <v>268</v>
      </c>
      <c r="B402" s="145" t="s">
        <v>269</v>
      </c>
      <c r="C402" s="145" t="n">
        <v>6</v>
      </c>
      <c r="D402" s="145" t="n">
        <v>10</v>
      </c>
      <c r="E402" s="145" t="s">
        <v>809</v>
      </c>
      <c r="F402" s="145" t="s">
        <v>505</v>
      </c>
      <c r="G402" s="146" t="s">
        <v>477</v>
      </c>
      <c r="H402" s="147" t="n">
        <v>1</v>
      </c>
      <c r="I402" s="148" t="n">
        <v>6</v>
      </c>
      <c r="J402" s="148" t="n">
        <v>12</v>
      </c>
      <c r="K402" s="148" t="n">
        <v>22</v>
      </c>
      <c r="L402" s="147" t="s">
        <v>506</v>
      </c>
    </row>
    <row r="403" ht="14" customHeight="1">
      <c r="A403" s="167">
        <is>
          <t xml:space="preserve">  ↳ PIP-MANAGE-01 L2 total</t>
        </is>
      </c>
      <c r="B403" s="167" t="n"/>
      <c r="C403" s="167" t="n"/>
      <c r="D403" s="167" t="n"/>
      <c r="E403" s="167" t="n"/>
      <c r="F403" s="167" t="n"/>
      <c r="G403" s="167" t="n"/>
      <c r="H403" s="167" t="n"/>
      <c r="I403" s="168" t="n">
        <v>64</v>
      </c>
      <c r="J403" s="168" t="n">
        <v>127</v>
      </c>
      <c r="K403" s="168" t="n">
        <v>242</v>
      </c>
      <c r="L403" s="167" t="s">
        <v>810</v>
      </c>
    </row>
    <row r="404" ht="14" customHeight="1">
      <c r="A404" s="160" t="s">
        <v>272</v>
      </c>
      <c r="B404" s="160" t="s">
        <v>273</v>
      </c>
      <c r="C404" s="160" t="n">
        <v>6</v>
      </c>
      <c r="D404" s="160" t="n">
        <v>1</v>
      </c>
      <c r="E404" s="160" t="s">
        <v>811</v>
      </c>
      <c r="F404" s="160" t="s">
        <v>476</v>
      </c>
      <c r="G404" s="146" t="s">
        <v>477</v>
      </c>
      <c r="H404" s="165" t="n">
        <v>1</v>
      </c>
      <c r="I404" s="162" t="n">
        <v>5</v>
      </c>
      <c r="J404" s="162" t="n">
        <v>8</v>
      </c>
      <c r="K404" s="162" t="n">
        <v>15</v>
      </c>
      <c r="L404" s="165" t="s">
        <v>478</v>
      </c>
    </row>
    <row r="405" ht="14" customHeight="1">
      <c r="A405" s="160" t="s">
        <v>272</v>
      </c>
      <c r="B405" s="160" t="s">
        <v>273</v>
      </c>
      <c r="C405" s="160" t="n">
        <v>6</v>
      </c>
      <c r="D405" s="160" t="n">
        <v>2</v>
      </c>
      <c r="E405" s="160" t="s">
        <v>812</v>
      </c>
      <c r="F405" s="160" t="s">
        <v>487</v>
      </c>
      <c r="G405" s="146" t="s">
        <v>477</v>
      </c>
      <c r="H405" s="165" t="n">
        <v>1</v>
      </c>
      <c r="I405" s="162" t="n">
        <v>8</v>
      </c>
      <c r="J405" s="162" t="n">
        <v>18</v>
      </c>
      <c r="K405" s="162" t="n">
        <v>35</v>
      </c>
      <c r="L405" s="165" t="s">
        <v>488</v>
      </c>
    </row>
    <row r="406" ht="14" customHeight="1">
      <c r="A406" s="160" t="s">
        <v>272</v>
      </c>
      <c r="B406" s="160" t="s">
        <v>273</v>
      </c>
      <c r="C406" s="160" t="n">
        <v>6</v>
      </c>
      <c r="D406" s="160" t="n">
        <v>3</v>
      </c>
      <c r="E406" s="160" t="s">
        <v>813</v>
      </c>
      <c r="F406" s="160" t="s">
        <v>487</v>
      </c>
      <c r="G406" s="146" t="s">
        <v>477</v>
      </c>
      <c r="H406" s="165" t="n">
        <v>1</v>
      </c>
      <c r="I406" s="162" t="n">
        <v>8</v>
      </c>
      <c r="J406" s="162" t="n">
        <v>18</v>
      </c>
      <c r="K406" s="162" t="n">
        <v>35</v>
      </c>
      <c r="L406" s="165" t="s">
        <v>488</v>
      </c>
    </row>
    <row r="407" ht="14" customHeight="1">
      <c r="A407" s="160" t="s">
        <v>272</v>
      </c>
      <c r="B407" s="160" t="s">
        <v>273</v>
      </c>
      <c r="C407" s="160" t="n">
        <v>6</v>
      </c>
      <c r="D407" s="160" t="n">
        <v>4</v>
      </c>
      <c r="E407" s="160" t="s">
        <v>639</v>
      </c>
      <c r="F407" s="160" t="s">
        <v>490</v>
      </c>
      <c r="G407" s="146" t="s">
        <v>477</v>
      </c>
      <c r="H407" s="165" t="n">
        <v>1</v>
      </c>
      <c r="I407" s="162" t="n">
        <v>6</v>
      </c>
      <c r="J407" s="162" t="n">
        <v>12</v>
      </c>
      <c r="K407" s="162" t="n">
        <v>22</v>
      </c>
      <c r="L407" s="165" t="s">
        <v>491</v>
      </c>
    </row>
    <row r="408" ht="14" customHeight="1">
      <c r="A408" s="160" t="s">
        <v>272</v>
      </c>
      <c r="B408" s="160" t="s">
        <v>273</v>
      </c>
      <c r="C408" s="160" t="n">
        <v>6</v>
      </c>
      <c r="D408" s="160" t="n">
        <v>5</v>
      </c>
      <c r="E408" s="160" t="s">
        <v>814</v>
      </c>
      <c r="F408" s="160" t="s">
        <v>493</v>
      </c>
      <c r="G408" s="146" t="s">
        <v>477</v>
      </c>
      <c r="H408" s="165" t="n">
        <v>1</v>
      </c>
      <c r="I408" s="162" t="n">
        <v>8</v>
      </c>
      <c r="J408" s="162" t="n">
        <v>16</v>
      </c>
      <c r="K408" s="162" t="n">
        <v>30</v>
      </c>
      <c r="L408" s="165" t="s">
        <v>494</v>
      </c>
    </row>
    <row r="409" ht="14" customHeight="1">
      <c r="A409" s="160" t="s">
        <v>272</v>
      </c>
      <c r="B409" s="160" t="s">
        <v>273</v>
      </c>
      <c r="C409" s="160" t="n">
        <v>6</v>
      </c>
      <c r="D409" s="160" t="n">
        <v>6</v>
      </c>
      <c r="E409" s="160" t="s">
        <v>641</v>
      </c>
      <c r="F409" s="160" t="s">
        <v>496</v>
      </c>
      <c r="G409" s="146" t="s">
        <v>477</v>
      </c>
      <c r="H409" s="165" t="n">
        <v>1</v>
      </c>
      <c r="I409" s="162" t="n">
        <v>10</v>
      </c>
      <c r="J409" s="162" t="n">
        <v>20</v>
      </c>
      <c r="K409" s="162" t="n">
        <v>40</v>
      </c>
      <c r="L409" s="165" t="s">
        <v>497</v>
      </c>
    </row>
    <row r="410" ht="14" customHeight="1">
      <c r="A410" s="160" t="s">
        <v>272</v>
      </c>
      <c r="B410" s="160" t="s">
        <v>273</v>
      </c>
      <c r="C410" s="160" t="n">
        <v>6</v>
      </c>
      <c r="D410" s="160" t="n">
        <v>7</v>
      </c>
      <c r="E410" s="160" t="s">
        <v>815</v>
      </c>
      <c r="F410" s="160" t="s">
        <v>499</v>
      </c>
      <c r="G410" s="146" t="s">
        <v>477</v>
      </c>
      <c r="H410" s="165" t="n">
        <v>1</v>
      </c>
      <c r="I410" s="162" t="n">
        <v>8</v>
      </c>
      <c r="J410" s="162" t="n">
        <v>15</v>
      </c>
      <c r="K410" s="162" t="n">
        <v>28</v>
      </c>
      <c r="L410" s="165" t="s">
        <v>500</v>
      </c>
    </row>
    <row r="411" ht="14" customHeight="1">
      <c r="A411" s="160" t="s">
        <v>272</v>
      </c>
      <c r="B411" s="160" t="s">
        <v>273</v>
      </c>
      <c r="C411" s="160" t="n">
        <v>6</v>
      </c>
      <c r="D411" s="160" t="n">
        <v>8</v>
      </c>
      <c r="E411" s="160" t="s">
        <v>501</v>
      </c>
      <c r="F411" s="160" t="s">
        <v>502</v>
      </c>
      <c r="G411" s="146" t="s">
        <v>477</v>
      </c>
      <c r="H411" s="165" t="n">
        <v>1</v>
      </c>
      <c r="I411" s="162" t="n">
        <v>3</v>
      </c>
      <c r="J411" s="162" t="n">
        <v>6</v>
      </c>
      <c r="K411" s="162" t="n">
        <v>12</v>
      </c>
      <c r="L411" s="165" t="s">
        <v>503</v>
      </c>
    </row>
    <row r="412" ht="14" customHeight="1">
      <c r="A412" s="160" t="s">
        <v>272</v>
      </c>
      <c r="B412" s="160" t="s">
        <v>273</v>
      </c>
      <c r="C412" s="160" t="n">
        <v>6</v>
      </c>
      <c r="D412" s="160" t="n">
        <v>9</v>
      </c>
      <c r="E412" s="160" t="s">
        <v>816</v>
      </c>
      <c r="F412" s="160" t="s">
        <v>505</v>
      </c>
      <c r="G412" s="146" t="s">
        <v>477</v>
      </c>
      <c r="H412" s="165" t="n">
        <v>1</v>
      </c>
      <c r="I412" s="162" t="n">
        <v>6</v>
      </c>
      <c r="J412" s="162" t="n">
        <v>12</v>
      </c>
      <c r="K412" s="162" t="n">
        <v>22</v>
      </c>
      <c r="L412" s="165" t="s">
        <v>506</v>
      </c>
    </row>
    <row r="413" ht="14" customHeight="1">
      <c r="A413" s="167">
        <is>
          <t xml:space="preserve">  ↳ IE-01 L2 total</t>
        </is>
      </c>
      <c r="B413" s="167" t="n"/>
      <c r="C413" s="167" t="n"/>
      <c r="D413" s="167" t="n"/>
      <c r="E413" s="167" t="n"/>
      <c r="F413" s="167" t="n"/>
      <c r="G413" s="167" t="n"/>
      <c r="H413" s="167" t="n"/>
      <c r="I413" s="168" t="n">
        <v>62</v>
      </c>
      <c r="J413" s="168" t="n">
        <v>125</v>
      </c>
      <c r="K413" s="168" t="n">
        <v>239</v>
      </c>
      <c r="L413" s="167" t="s">
        <v>817</v>
      </c>
    </row>
    <row r="414" ht="14" customHeight="1">
      <c r="A414" s="160" t="s">
        <v>277</v>
      </c>
      <c r="B414" s="160" t="s">
        <v>278</v>
      </c>
      <c r="C414" s="160" t="n">
        <v>7</v>
      </c>
      <c r="D414" s="160" t="n">
        <v>1</v>
      </c>
      <c r="E414" s="160" t="s">
        <v>818</v>
      </c>
      <c r="F414" s="160" t="s">
        <v>476</v>
      </c>
      <c r="G414" s="146" t="s">
        <v>477</v>
      </c>
      <c r="H414" s="165" t="n">
        <v>1</v>
      </c>
      <c r="I414" s="162" t="n">
        <v>5</v>
      </c>
      <c r="J414" s="162" t="n">
        <v>8</v>
      </c>
      <c r="K414" s="162" t="n">
        <v>15</v>
      </c>
      <c r="L414" s="165" t="s">
        <v>478</v>
      </c>
    </row>
    <row r="415" ht="14" customHeight="1">
      <c r="A415" s="160" t="s">
        <v>277</v>
      </c>
      <c r="B415" s="160" t="s">
        <v>278</v>
      </c>
      <c r="C415" s="160" t="n">
        <v>7</v>
      </c>
      <c r="D415" s="160" t="n">
        <v>2</v>
      </c>
      <c r="E415" s="160" t="s">
        <v>819</v>
      </c>
      <c r="F415" s="160" t="s">
        <v>480</v>
      </c>
      <c r="G415" s="146" t="s">
        <v>477</v>
      </c>
      <c r="H415" s="165" t="n">
        <v>1</v>
      </c>
      <c r="I415" s="162" t="n">
        <v>8</v>
      </c>
      <c r="J415" s="162" t="n">
        <v>15</v>
      </c>
      <c r="K415" s="162" t="n">
        <v>28</v>
      </c>
      <c r="L415" s="165" t="s">
        <v>518</v>
      </c>
    </row>
    <row r="416" ht="14" customHeight="1">
      <c r="A416" s="160" t="s">
        <v>277</v>
      </c>
      <c r="B416" s="160" t="s">
        <v>278</v>
      </c>
      <c r="C416" s="160" t="n">
        <v>7</v>
      </c>
      <c r="D416" s="160" t="n">
        <v>3</v>
      </c>
      <c r="E416" s="160" t="s">
        <v>820</v>
      </c>
      <c r="F416" s="160" t="s">
        <v>484</v>
      </c>
      <c r="G416" s="146" t="s">
        <v>477</v>
      </c>
      <c r="H416" s="165" t="n">
        <v>1</v>
      </c>
      <c r="I416" s="162" t="n">
        <v>5</v>
      </c>
      <c r="J416" s="162" t="n">
        <v>10</v>
      </c>
      <c r="K416" s="162" t="n">
        <v>20</v>
      </c>
      <c r="L416" s="165" t="s">
        <v>485</v>
      </c>
    </row>
    <row r="417" ht="14" customHeight="1">
      <c r="A417" s="160" t="s">
        <v>277</v>
      </c>
      <c r="B417" s="160" t="s">
        <v>278</v>
      </c>
      <c r="C417" s="160" t="n">
        <v>7</v>
      </c>
      <c r="D417" s="160" t="n">
        <v>4</v>
      </c>
      <c r="E417" s="160" t="s">
        <v>821</v>
      </c>
      <c r="F417" s="160" t="s">
        <v>487</v>
      </c>
      <c r="G417" s="146" t="s">
        <v>477</v>
      </c>
      <c r="H417" s="165" t="n">
        <v>1</v>
      </c>
      <c r="I417" s="162" t="n">
        <v>8</v>
      </c>
      <c r="J417" s="162" t="n">
        <v>18</v>
      </c>
      <c r="K417" s="162" t="n">
        <v>35</v>
      </c>
      <c r="L417" s="165" t="s">
        <v>488</v>
      </c>
    </row>
    <row r="418" ht="14" customHeight="1">
      <c r="A418" s="160" t="s">
        <v>277</v>
      </c>
      <c r="B418" s="160" t="s">
        <v>278</v>
      </c>
      <c r="C418" s="160" t="n">
        <v>7</v>
      </c>
      <c r="D418" s="160" t="n">
        <v>5</v>
      </c>
      <c r="E418" s="160" t="s">
        <v>822</v>
      </c>
      <c r="F418" s="160" t="s">
        <v>490</v>
      </c>
      <c r="G418" s="146" t="s">
        <v>477</v>
      </c>
      <c r="H418" s="165" t="n">
        <v>1</v>
      </c>
      <c r="I418" s="162" t="n">
        <v>6</v>
      </c>
      <c r="J418" s="162" t="n">
        <v>12</v>
      </c>
      <c r="K418" s="162" t="n">
        <v>22</v>
      </c>
      <c r="L418" s="165" t="s">
        <v>491</v>
      </c>
    </row>
    <row r="419" ht="14" customHeight="1">
      <c r="A419" s="160" t="s">
        <v>277</v>
      </c>
      <c r="B419" s="160" t="s">
        <v>278</v>
      </c>
      <c r="C419" s="160" t="n">
        <v>7</v>
      </c>
      <c r="D419" s="160" t="n">
        <v>6</v>
      </c>
      <c r="E419" s="160" t="s">
        <v>823</v>
      </c>
      <c r="F419" s="160" t="s">
        <v>493</v>
      </c>
      <c r="G419" s="146" t="s">
        <v>477</v>
      </c>
      <c r="H419" s="165" t="n">
        <v>1</v>
      </c>
      <c r="I419" s="162" t="n">
        <v>8</v>
      </c>
      <c r="J419" s="162" t="n">
        <v>16</v>
      </c>
      <c r="K419" s="162" t="n">
        <v>30</v>
      </c>
      <c r="L419" s="165" t="s">
        <v>494</v>
      </c>
    </row>
    <row r="420" ht="14" customHeight="1">
      <c r="A420" s="160" t="s">
        <v>277</v>
      </c>
      <c r="B420" s="160" t="s">
        <v>278</v>
      </c>
      <c r="C420" s="160" t="n">
        <v>7</v>
      </c>
      <c r="D420" s="160" t="n">
        <v>7</v>
      </c>
      <c r="E420" s="160" t="s">
        <v>824</v>
      </c>
      <c r="F420" s="160" t="s">
        <v>496</v>
      </c>
      <c r="G420" s="146" t="s">
        <v>477</v>
      </c>
      <c r="H420" s="165" t="n">
        <v>1</v>
      </c>
      <c r="I420" s="162" t="n">
        <v>10</v>
      </c>
      <c r="J420" s="162" t="n">
        <v>20</v>
      </c>
      <c r="K420" s="162" t="n">
        <v>40</v>
      </c>
      <c r="L420" s="165" t="s">
        <v>497</v>
      </c>
    </row>
    <row r="421" ht="14" customHeight="1">
      <c r="A421" s="160" t="s">
        <v>277</v>
      </c>
      <c r="B421" s="160" t="s">
        <v>278</v>
      </c>
      <c r="C421" s="160" t="n">
        <v>7</v>
      </c>
      <c r="D421" s="160" t="n">
        <v>8</v>
      </c>
      <c r="E421" s="160" t="s">
        <v>825</v>
      </c>
      <c r="F421" s="160" t="s">
        <v>499</v>
      </c>
      <c r="G421" s="146" t="s">
        <v>477</v>
      </c>
      <c r="H421" s="165" t="n">
        <v>1</v>
      </c>
      <c r="I421" s="162" t="n">
        <v>8</v>
      </c>
      <c r="J421" s="162" t="n">
        <v>15</v>
      </c>
      <c r="K421" s="162" t="n">
        <v>28</v>
      </c>
      <c r="L421" s="165" t="s">
        <v>500</v>
      </c>
    </row>
    <row r="422" ht="14" customHeight="1">
      <c r="A422" s="160" t="s">
        <v>277</v>
      </c>
      <c r="B422" s="160" t="s">
        <v>278</v>
      </c>
      <c r="C422" s="160" t="n">
        <v>7</v>
      </c>
      <c r="D422" s="160" t="n">
        <v>9</v>
      </c>
      <c r="E422" s="160" t="s">
        <v>501</v>
      </c>
      <c r="F422" s="160" t="s">
        <v>502</v>
      </c>
      <c r="G422" s="146" t="s">
        <v>477</v>
      </c>
      <c r="H422" s="165" t="n">
        <v>1</v>
      </c>
      <c r="I422" s="162" t="n">
        <v>3</v>
      </c>
      <c r="J422" s="162" t="n">
        <v>6</v>
      </c>
      <c r="K422" s="162" t="n">
        <v>12</v>
      </c>
      <c r="L422" s="165" t="s">
        <v>503</v>
      </c>
    </row>
    <row r="423" ht="14" customHeight="1">
      <c r="A423" s="160" t="s">
        <v>277</v>
      </c>
      <c r="B423" s="160" t="s">
        <v>278</v>
      </c>
      <c r="C423" s="160" t="n">
        <v>7</v>
      </c>
      <c r="D423" s="160" t="n">
        <v>10</v>
      </c>
      <c r="E423" s="160" t="s">
        <v>826</v>
      </c>
      <c r="F423" s="160" t="s">
        <v>505</v>
      </c>
      <c r="G423" s="146" t="s">
        <v>477</v>
      </c>
      <c r="H423" s="165" t="n">
        <v>1</v>
      </c>
      <c r="I423" s="162" t="n">
        <v>6</v>
      </c>
      <c r="J423" s="162" t="n">
        <v>12</v>
      </c>
      <c r="K423" s="162" t="n">
        <v>22</v>
      </c>
      <c r="L423" s="165" t="s">
        <v>506</v>
      </c>
    </row>
    <row r="424" ht="14" customHeight="1">
      <c r="A424" s="167">
        <is>
          <t xml:space="preserve">  ↳ FAM-01 L2 total</t>
        </is>
      </c>
      <c r="B424" s="167" t="n"/>
      <c r="C424" s="167" t="n"/>
      <c r="D424" s="167" t="n"/>
      <c r="E424" s="167" t="n"/>
      <c r="F424" s="167" t="n"/>
      <c r="G424" s="167" t="n"/>
      <c r="H424" s="167" t="n"/>
      <c r="I424" s="168" t="n">
        <v>67</v>
      </c>
      <c r="J424" s="168" t="n">
        <v>132</v>
      </c>
      <c r="K424" s="168" t="n">
        <v>252</v>
      </c>
      <c r="L424" s="167" t="s">
        <v>827</v>
      </c>
    </row>
    <row r="425" ht="14" customHeight="1">
      <c r="A425" s="170" t="s">
        <v>282</v>
      </c>
      <c r="B425" s="170" t="s">
        <v>283</v>
      </c>
      <c r="C425" s="170" t="n">
        <v>7</v>
      </c>
      <c r="D425" s="170" t="n">
        <v>1</v>
      </c>
      <c r="E425" s="170" t="s">
        <v>828</v>
      </c>
      <c r="F425" s="170" t="s">
        <v>476</v>
      </c>
      <c r="G425" s="146" t="s">
        <v>477</v>
      </c>
      <c r="H425" s="171" t="n">
        <v>1</v>
      </c>
      <c r="I425" s="172" t="n">
        <v>5</v>
      </c>
      <c r="J425" s="172" t="n">
        <v>8</v>
      </c>
      <c r="K425" s="172" t="n">
        <v>15</v>
      </c>
      <c r="L425" s="171" t="s">
        <v>478</v>
      </c>
    </row>
    <row r="426" ht="14" customHeight="1">
      <c r="A426" s="170" t="s">
        <v>282</v>
      </c>
      <c r="B426" s="170" t="s">
        <v>283</v>
      </c>
      <c r="C426" s="170" t="n">
        <v>7</v>
      </c>
      <c r="D426" s="170" t="n">
        <v>2</v>
      </c>
      <c r="E426" s="170" t="s">
        <v>829</v>
      </c>
      <c r="F426" s="170" t="s">
        <v>480</v>
      </c>
      <c r="G426" s="146" t="s">
        <v>477</v>
      </c>
      <c r="H426" s="171" t="n">
        <v>1</v>
      </c>
      <c r="I426" s="172" t="n">
        <v>8</v>
      </c>
      <c r="J426" s="172" t="n">
        <v>15</v>
      </c>
      <c r="K426" s="172" t="n">
        <v>28</v>
      </c>
      <c r="L426" s="171" t="s">
        <v>518</v>
      </c>
    </row>
    <row r="427" ht="14" customHeight="1">
      <c r="A427" s="170" t="s">
        <v>282</v>
      </c>
      <c r="B427" s="170" t="s">
        <v>283</v>
      </c>
      <c r="C427" s="170" t="n">
        <v>7</v>
      </c>
      <c r="D427" s="170" t="n">
        <v>3</v>
      </c>
      <c r="E427" s="170" t="s">
        <v>830</v>
      </c>
      <c r="F427" s="170" t="s">
        <v>484</v>
      </c>
      <c r="G427" s="146" t="s">
        <v>477</v>
      </c>
      <c r="H427" s="171" t="n">
        <v>1</v>
      </c>
      <c r="I427" s="172" t="n">
        <v>5</v>
      </c>
      <c r="J427" s="172" t="n">
        <v>10</v>
      </c>
      <c r="K427" s="172" t="n">
        <v>20</v>
      </c>
      <c r="L427" s="171" t="s">
        <v>485</v>
      </c>
    </row>
    <row r="428" ht="14" customHeight="1">
      <c r="A428" s="170" t="s">
        <v>282</v>
      </c>
      <c r="B428" s="170" t="s">
        <v>283</v>
      </c>
      <c r="C428" s="170" t="n">
        <v>7</v>
      </c>
      <c r="D428" s="170" t="n">
        <v>4</v>
      </c>
      <c r="E428" s="170" t="s">
        <v>831</v>
      </c>
      <c r="F428" s="170" t="s">
        <v>487</v>
      </c>
      <c r="G428" s="146" t="s">
        <v>477</v>
      </c>
      <c r="H428" s="171" t="n">
        <v>1</v>
      </c>
      <c r="I428" s="172" t="n">
        <v>8</v>
      </c>
      <c r="J428" s="172" t="n">
        <v>18</v>
      </c>
      <c r="K428" s="172" t="n">
        <v>35</v>
      </c>
      <c r="L428" s="171" t="s">
        <v>488</v>
      </c>
    </row>
    <row r="429" ht="14" customHeight="1">
      <c r="A429" s="170" t="s">
        <v>282</v>
      </c>
      <c r="B429" s="170" t="s">
        <v>283</v>
      </c>
      <c r="C429" s="170" t="n">
        <v>7</v>
      </c>
      <c r="D429" s="170" t="n">
        <v>5</v>
      </c>
      <c r="E429" s="170" t="s">
        <v>832</v>
      </c>
      <c r="F429" s="170" t="s">
        <v>487</v>
      </c>
      <c r="G429" s="146" t="s">
        <v>477</v>
      </c>
      <c r="H429" s="171" t="n">
        <v>1</v>
      </c>
      <c r="I429" s="172" t="n">
        <v>8</v>
      </c>
      <c r="J429" s="172" t="n">
        <v>18</v>
      </c>
      <c r="K429" s="172" t="n">
        <v>35</v>
      </c>
      <c r="L429" s="171" t="s">
        <v>488</v>
      </c>
    </row>
    <row r="430" ht="14" customHeight="1">
      <c r="A430" s="170" t="s">
        <v>282</v>
      </c>
      <c r="B430" s="170" t="s">
        <v>283</v>
      </c>
      <c r="C430" s="170" t="n">
        <v>7</v>
      </c>
      <c r="D430" s="170" t="n">
        <v>6</v>
      </c>
      <c r="E430" s="170" t="s">
        <v>833</v>
      </c>
      <c r="F430" s="170" t="s">
        <v>490</v>
      </c>
      <c r="G430" s="146" t="s">
        <v>477</v>
      </c>
      <c r="H430" s="171" t="n">
        <v>1</v>
      </c>
      <c r="I430" s="172" t="n">
        <v>6</v>
      </c>
      <c r="J430" s="172" t="n">
        <v>12</v>
      </c>
      <c r="K430" s="172" t="n">
        <v>22</v>
      </c>
      <c r="L430" s="171" t="s">
        <v>491</v>
      </c>
    </row>
    <row r="431" ht="14" customHeight="1">
      <c r="A431" s="170" t="s">
        <v>282</v>
      </c>
      <c r="B431" s="170" t="s">
        <v>283</v>
      </c>
      <c r="C431" s="170" t="n">
        <v>7</v>
      </c>
      <c r="D431" s="170" t="n">
        <v>7</v>
      </c>
      <c r="E431" s="170" t="s">
        <v>834</v>
      </c>
      <c r="F431" s="170" t="s">
        <v>493</v>
      </c>
      <c r="G431" s="146" t="s">
        <v>477</v>
      </c>
      <c r="H431" s="171" t="n">
        <v>1</v>
      </c>
      <c r="I431" s="172" t="n">
        <v>8</v>
      </c>
      <c r="J431" s="172" t="n">
        <v>16</v>
      </c>
      <c r="K431" s="172" t="n">
        <v>30</v>
      </c>
      <c r="L431" s="171" t="s">
        <v>494</v>
      </c>
    </row>
    <row r="432" ht="14" customHeight="1">
      <c r="A432" s="170" t="s">
        <v>282</v>
      </c>
      <c r="B432" s="170" t="s">
        <v>283</v>
      </c>
      <c r="C432" s="170" t="n">
        <v>7</v>
      </c>
      <c r="D432" s="170" t="n">
        <v>8</v>
      </c>
      <c r="E432" s="170" t="s">
        <v>835</v>
      </c>
      <c r="F432" s="170" t="s">
        <v>496</v>
      </c>
      <c r="G432" s="146" t="s">
        <v>477</v>
      </c>
      <c r="H432" s="171" t="n">
        <v>1</v>
      </c>
      <c r="I432" s="172" t="n">
        <v>10</v>
      </c>
      <c r="J432" s="172" t="n">
        <v>20</v>
      </c>
      <c r="K432" s="172" t="n">
        <v>40</v>
      </c>
      <c r="L432" s="171" t="s">
        <v>497</v>
      </c>
    </row>
    <row r="433" ht="14" customHeight="1">
      <c r="A433" s="170" t="s">
        <v>282</v>
      </c>
      <c r="B433" s="170" t="s">
        <v>283</v>
      </c>
      <c r="C433" s="170" t="n">
        <v>7</v>
      </c>
      <c r="D433" s="170" t="n">
        <v>9</v>
      </c>
      <c r="E433" s="170" t="s">
        <v>836</v>
      </c>
      <c r="F433" s="170" t="s">
        <v>496</v>
      </c>
      <c r="G433" s="146" t="s">
        <v>477</v>
      </c>
      <c r="H433" s="171" t="n">
        <v>1</v>
      </c>
      <c r="I433" s="172" t="n">
        <v>10</v>
      </c>
      <c r="J433" s="172" t="n">
        <v>20</v>
      </c>
      <c r="K433" s="172" t="n">
        <v>40</v>
      </c>
      <c r="L433" s="171" t="s">
        <v>497</v>
      </c>
    </row>
    <row r="434" ht="14" customHeight="1">
      <c r="A434" s="170" t="s">
        <v>282</v>
      </c>
      <c r="B434" s="170" t="s">
        <v>283</v>
      </c>
      <c r="C434" s="170" t="n">
        <v>7</v>
      </c>
      <c r="D434" s="170" t="n">
        <v>10</v>
      </c>
      <c r="E434" s="170" t="s">
        <v>837</v>
      </c>
      <c r="F434" s="170" t="s">
        <v>499</v>
      </c>
      <c r="G434" s="146" t="s">
        <v>477</v>
      </c>
      <c r="H434" s="171" t="n">
        <v>1</v>
      </c>
      <c r="I434" s="172" t="n">
        <v>8</v>
      </c>
      <c r="J434" s="172" t="n">
        <v>15</v>
      </c>
      <c r="K434" s="172" t="n">
        <v>28</v>
      </c>
      <c r="L434" s="171" t="s">
        <v>500</v>
      </c>
    </row>
    <row r="435" ht="14" customHeight="1">
      <c r="A435" s="170" t="s">
        <v>282</v>
      </c>
      <c r="B435" s="170" t="s">
        <v>283</v>
      </c>
      <c r="C435" s="170" t="n">
        <v>7</v>
      </c>
      <c r="D435" s="170" t="n">
        <v>11</v>
      </c>
      <c r="E435" s="170" t="s">
        <v>838</v>
      </c>
      <c r="F435" s="170" t="s">
        <v>805</v>
      </c>
      <c r="G435" s="146" t="s">
        <v>477</v>
      </c>
      <c r="H435" s="171" t="n">
        <v>1</v>
      </c>
      <c r="I435" s="172" t="n">
        <v>5</v>
      </c>
      <c r="J435" s="172" t="n">
        <v>10</v>
      </c>
      <c r="K435" s="172" t="n">
        <v>18</v>
      </c>
      <c r="L435" s="171" t="s">
        <v>806</v>
      </c>
    </row>
    <row r="436" ht="14" customHeight="1">
      <c r="A436" s="170" t="s">
        <v>282</v>
      </c>
      <c r="B436" s="170" t="s">
        <v>283</v>
      </c>
      <c r="C436" s="170" t="n">
        <v>7</v>
      </c>
      <c r="D436" s="170" t="n">
        <v>12</v>
      </c>
      <c r="E436" s="170" t="s">
        <v>501</v>
      </c>
      <c r="F436" s="170" t="s">
        <v>502</v>
      </c>
      <c r="G436" s="146" t="s">
        <v>477</v>
      </c>
      <c r="H436" s="171" t="n">
        <v>1</v>
      </c>
      <c r="I436" s="172" t="n">
        <v>3</v>
      </c>
      <c r="J436" s="172" t="n">
        <v>6</v>
      </c>
      <c r="K436" s="172" t="n">
        <v>12</v>
      </c>
      <c r="L436" s="171" t="s">
        <v>503</v>
      </c>
    </row>
    <row r="437" ht="14" customHeight="1">
      <c r="A437" s="170" t="s">
        <v>282</v>
      </c>
      <c r="B437" s="170" t="s">
        <v>283</v>
      </c>
      <c r="C437" s="170" t="n">
        <v>7</v>
      </c>
      <c r="D437" s="170" t="n">
        <v>13</v>
      </c>
      <c r="E437" s="170" t="s">
        <v>839</v>
      </c>
      <c r="F437" s="170" t="s">
        <v>505</v>
      </c>
      <c r="G437" s="146" t="s">
        <v>477</v>
      </c>
      <c r="H437" s="171" t="n">
        <v>1</v>
      </c>
      <c r="I437" s="172" t="n">
        <v>6</v>
      </c>
      <c r="J437" s="172" t="n">
        <v>12</v>
      </c>
      <c r="K437" s="172" t="n">
        <v>22</v>
      </c>
      <c r="L437" s="171" t="s">
        <v>506</v>
      </c>
    </row>
    <row r="438" ht="14" customHeight="1">
      <c r="A438" s="167">
        <is>
          <t xml:space="preserve">  ↳ SYNC-01 L2 total</t>
        </is>
      </c>
      <c r="B438" s="167" t="n"/>
      <c r="C438" s="167" t="n"/>
      <c r="D438" s="167" t="n"/>
      <c r="E438" s="167" t="n"/>
      <c r="F438" s="167" t="n"/>
      <c r="G438" s="167" t="n"/>
      <c r="H438" s="167" t="n"/>
      <c r="I438" s="168" t="n">
        <v>90</v>
      </c>
      <c r="J438" s="168" t="n">
        <v>180</v>
      </c>
      <c r="K438" s="168" t="n">
        <v>345</v>
      </c>
      <c r="L438" s="167" t="s">
        <v>840</v>
      </c>
    </row>
    <row r="439" ht="14" customHeight="1">
      <c r="A439" s="160" t="s">
        <v>287</v>
      </c>
      <c r="B439" s="160" t="s">
        <v>288</v>
      </c>
      <c r="C439" s="160" t="n">
        <v>7</v>
      </c>
      <c r="D439" s="160" t="n">
        <v>1</v>
      </c>
      <c r="E439" s="160" t="s">
        <v>841</v>
      </c>
      <c r="F439" s="160" t="s">
        <v>476</v>
      </c>
      <c r="G439" s="149" t="s">
        <v>481</v>
      </c>
      <c r="H439" s="165" t="n">
        <v>0.6</v>
      </c>
      <c r="I439" s="162" t="n">
        <v>3</v>
      </c>
      <c r="J439" s="162" t="n">
        <v>4.8</v>
      </c>
      <c r="K439" s="162" t="n">
        <v>9</v>
      </c>
      <c r="L439" s="165" t="s">
        <v>842</v>
      </c>
    </row>
    <row r="440" ht="14" customHeight="1">
      <c r="A440" s="160" t="s">
        <v>287</v>
      </c>
      <c r="B440" s="160" t="s">
        <v>288</v>
      </c>
      <c r="C440" s="160" t="n">
        <v>7</v>
      </c>
      <c r="D440" s="160" t="n">
        <v>2</v>
      </c>
      <c r="E440" s="160" t="s">
        <v>843</v>
      </c>
      <c r="F440" s="160" t="s">
        <v>480</v>
      </c>
      <c r="G440" s="164" t="s">
        <v>528</v>
      </c>
      <c r="H440" s="165" t="n">
        <v>0.3</v>
      </c>
      <c r="I440" s="162" t="n">
        <v>2.4</v>
      </c>
      <c r="J440" s="162" t="n">
        <v>4.5</v>
      </c>
      <c r="K440" s="162" t="n">
        <v>8.4</v>
      </c>
      <c r="L440" s="165" t="s">
        <v>529</v>
      </c>
    </row>
    <row r="441" ht="14" customHeight="1">
      <c r="A441" s="160" t="s">
        <v>287</v>
      </c>
      <c r="B441" s="160" t="s">
        <v>288</v>
      </c>
      <c r="C441" s="160" t="n">
        <v>7</v>
      </c>
      <c r="D441" s="160" t="n">
        <v>3</v>
      </c>
      <c r="E441" s="160" t="s">
        <v>844</v>
      </c>
      <c r="F441" s="160" t="s">
        <v>487</v>
      </c>
      <c r="G441" s="149" t="s">
        <v>481</v>
      </c>
      <c r="H441" s="165" t="n">
        <v>0.6</v>
      </c>
      <c r="I441" s="162" t="n">
        <v>4.8</v>
      </c>
      <c r="J441" s="162" t="n">
        <v>10.8</v>
      </c>
      <c r="K441" s="162" t="n">
        <v>21</v>
      </c>
      <c r="L441" s="165" t="s">
        <v>533</v>
      </c>
    </row>
    <row r="442" ht="14" customHeight="1">
      <c r="A442" s="160" t="s">
        <v>287</v>
      </c>
      <c r="B442" s="160" t="s">
        <v>288</v>
      </c>
      <c r="C442" s="160" t="n">
        <v>7</v>
      </c>
      <c r="D442" s="160" t="n">
        <v>4</v>
      </c>
      <c r="E442" s="160" t="s">
        <v>845</v>
      </c>
      <c r="F442" s="160" t="s">
        <v>490</v>
      </c>
      <c r="G442" s="146" t="s">
        <v>477</v>
      </c>
      <c r="H442" s="165" t="n">
        <v>1</v>
      </c>
      <c r="I442" s="162" t="n">
        <v>6</v>
      </c>
      <c r="J442" s="162" t="n">
        <v>12</v>
      </c>
      <c r="K442" s="162" t="n">
        <v>22</v>
      </c>
      <c r="L442" s="165" t="s">
        <v>491</v>
      </c>
    </row>
    <row r="443" ht="14" customHeight="1">
      <c r="A443" s="160" t="s">
        <v>287</v>
      </c>
      <c r="B443" s="160" t="s">
        <v>288</v>
      </c>
      <c r="C443" s="160" t="n">
        <v>7</v>
      </c>
      <c r="D443" s="160" t="n">
        <v>5</v>
      </c>
      <c r="E443" s="160" t="s">
        <v>846</v>
      </c>
      <c r="F443" s="160" t="s">
        <v>493</v>
      </c>
      <c r="G443" s="146" t="s">
        <v>477</v>
      </c>
      <c r="H443" s="165" t="n">
        <v>1</v>
      </c>
      <c r="I443" s="162" t="n">
        <v>8</v>
      </c>
      <c r="J443" s="162" t="n">
        <v>16</v>
      </c>
      <c r="K443" s="162" t="n">
        <v>30</v>
      </c>
      <c r="L443" s="165" t="s">
        <v>494</v>
      </c>
    </row>
    <row r="444" ht="14" customHeight="1">
      <c r="A444" s="160" t="s">
        <v>287</v>
      </c>
      <c r="B444" s="160" t="s">
        <v>288</v>
      </c>
      <c r="C444" s="160" t="n">
        <v>7</v>
      </c>
      <c r="D444" s="160" t="n">
        <v>6</v>
      </c>
      <c r="E444" s="160" t="s">
        <v>847</v>
      </c>
      <c r="F444" s="160" t="s">
        <v>496</v>
      </c>
      <c r="G444" s="149" t="s">
        <v>481</v>
      </c>
      <c r="H444" s="165" t="n">
        <v>0.6</v>
      </c>
      <c r="I444" s="162" t="n">
        <v>6</v>
      </c>
      <c r="J444" s="162" t="n">
        <v>12</v>
      </c>
      <c r="K444" s="162" t="n">
        <v>24</v>
      </c>
      <c r="L444" s="165" t="s">
        <v>848</v>
      </c>
    </row>
    <row r="445" ht="14" customHeight="1">
      <c r="A445" s="160" t="s">
        <v>287</v>
      </c>
      <c r="B445" s="160" t="s">
        <v>288</v>
      </c>
      <c r="C445" s="160" t="n">
        <v>7</v>
      </c>
      <c r="D445" s="160" t="n">
        <v>7</v>
      </c>
      <c r="E445" s="160" t="s">
        <v>849</v>
      </c>
      <c r="F445" s="160" t="s">
        <v>499</v>
      </c>
      <c r="G445" s="146" t="s">
        <v>477</v>
      </c>
      <c r="H445" s="165" t="n">
        <v>1</v>
      </c>
      <c r="I445" s="162" t="n">
        <v>8</v>
      </c>
      <c r="J445" s="162" t="n">
        <v>15</v>
      </c>
      <c r="K445" s="162" t="n">
        <v>28</v>
      </c>
      <c r="L445" s="165" t="s">
        <v>500</v>
      </c>
    </row>
    <row r="446" ht="14" customHeight="1">
      <c r="A446" s="160" t="s">
        <v>287</v>
      </c>
      <c r="B446" s="160" t="s">
        <v>288</v>
      </c>
      <c r="C446" s="160" t="n">
        <v>7</v>
      </c>
      <c r="D446" s="160" t="n">
        <v>8</v>
      </c>
      <c r="E446" s="160" t="s">
        <v>501</v>
      </c>
      <c r="F446" s="160" t="s">
        <v>502</v>
      </c>
      <c r="G446" s="146" t="s">
        <v>477</v>
      </c>
      <c r="H446" s="165" t="n">
        <v>1</v>
      </c>
      <c r="I446" s="162" t="n">
        <v>3</v>
      </c>
      <c r="J446" s="162" t="n">
        <v>6</v>
      </c>
      <c r="K446" s="162" t="n">
        <v>12</v>
      </c>
      <c r="L446" s="165" t="s">
        <v>503</v>
      </c>
    </row>
    <row r="447" ht="14" customHeight="1">
      <c r="A447" s="167">
        <is>
          <t xml:space="preserve">  ↳ MCP-BASE-01 L2 total</t>
        </is>
      </c>
      <c r="B447" s="167" t="n"/>
      <c r="C447" s="167" t="n"/>
      <c r="D447" s="167" t="n"/>
      <c r="E447" s="167" t="n"/>
      <c r="F447" s="167" t="n"/>
      <c r="G447" s="167" t="n"/>
      <c r="H447" s="167" t="n"/>
      <c r="I447" s="168" t="n">
        <v>41.2</v>
      </c>
      <c r="J447" s="168" t="n">
        <v>81.09999999999999</v>
      </c>
      <c r="K447" s="168" t="n">
        <v>154.4</v>
      </c>
      <c r="L447" s="167" t="s">
        <v>850</v>
      </c>
    </row>
    <row r="448" ht="14" customHeight="1">
      <c r="A448" s="160" t="s">
        <v>292</v>
      </c>
      <c r="B448" s="160" t="s">
        <v>293</v>
      </c>
      <c r="C448" s="160" t="n">
        <v>7</v>
      </c>
      <c r="D448" s="160" t="n">
        <v>1</v>
      </c>
      <c r="E448" s="160" t="s">
        <v>851</v>
      </c>
      <c r="F448" s="160" t="s">
        <v>476</v>
      </c>
      <c r="G448" s="164" t="s">
        <v>528</v>
      </c>
      <c r="H448" s="165" t="n">
        <v>0.3</v>
      </c>
      <c r="I448" s="162" t="n">
        <v>1.5</v>
      </c>
      <c r="J448" s="162" t="n">
        <v>2.4</v>
      </c>
      <c r="K448" s="162" t="n">
        <v>4.5</v>
      </c>
      <c r="L448" s="165" t="s">
        <v>542</v>
      </c>
    </row>
    <row r="449" ht="14" customHeight="1">
      <c r="A449" s="160" t="s">
        <v>292</v>
      </c>
      <c r="B449" s="160" t="s">
        <v>293</v>
      </c>
      <c r="C449" s="160" t="n">
        <v>7</v>
      </c>
      <c r="D449" s="160" t="n">
        <v>2</v>
      </c>
      <c r="E449" s="160" t="s">
        <v>852</v>
      </c>
      <c r="F449" s="160" t="s">
        <v>487</v>
      </c>
      <c r="G449" s="164" t="s">
        <v>528</v>
      </c>
      <c r="H449" s="165" t="n">
        <v>0.3</v>
      </c>
      <c r="I449" s="162" t="n">
        <v>2.4</v>
      </c>
      <c r="J449" s="162" t="n">
        <v>5.4</v>
      </c>
      <c r="K449" s="162" t="n">
        <v>10.5</v>
      </c>
      <c r="L449" s="165" t="s">
        <v>547</v>
      </c>
    </row>
    <row r="450" ht="14" customHeight="1">
      <c r="A450" s="160" t="s">
        <v>292</v>
      </c>
      <c r="B450" s="160" t="s">
        <v>293</v>
      </c>
      <c r="C450" s="160" t="n">
        <v>7</v>
      </c>
      <c r="D450" s="160" t="n">
        <v>3</v>
      </c>
      <c r="E450" s="160" t="s">
        <v>853</v>
      </c>
      <c r="F450" s="160" t="s">
        <v>496</v>
      </c>
      <c r="G450" s="164" t="s">
        <v>528</v>
      </c>
      <c r="H450" s="165" t="n">
        <v>0.3</v>
      </c>
      <c r="I450" s="162" t="n">
        <v>3</v>
      </c>
      <c r="J450" s="162" t="n">
        <v>6</v>
      </c>
      <c r="K450" s="162" t="n">
        <v>12</v>
      </c>
      <c r="L450" s="165" t="s">
        <v>553</v>
      </c>
    </row>
    <row r="451" ht="14" customHeight="1">
      <c r="A451" s="160" t="s">
        <v>292</v>
      </c>
      <c r="B451" s="160" t="s">
        <v>293</v>
      </c>
      <c r="C451" s="160" t="n">
        <v>7</v>
      </c>
      <c r="D451" s="160" t="n">
        <v>4</v>
      </c>
      <c r="E451" s="160" t="s">
        <v>554</v>
      </c>
      <c r="F451" s="160" t="s">
        <v>499</v>
      </c>
      <c r="G451" s="164" t="s">
        <v>528</v>
      </c>
      <c r="H451" s="165" t="n">
        <v>0.3</v>
      </c>
      <c r="I451" s="162" t="n">
        <v>2.4</v>
      </c>
      <c r="J451" s="162" t="n">
        <v>4.5</v>
      </c>
      <c r="K451" s="162" t="n">
        <v>8.4</v>
      </c>
      <c r="L451" s="165" t="s">
        <v>555</v>
      </c>
    </row>
    <row r="452" ht="14" customHeight="1">
      <c r="A452" s="160" t="s">
        <v>292</v>
      </c>
      <c r="B452" s="160" t="s">
        <v>293</v>
      </c>
      <c r="C452" s="160" t="n">
        <v>7</v>
      </c>
      <c r="D452" s="160" t="n">
        <v>5</v>
      </c>
      <c r="E452" s="160" t="s">
        <v>760</v>
      </c>
      <c r="F452" s="160" t="s">
        <v>502</v>
      </c>
      <c r="G452" s="164" t="s">
        <v>528</v>
      </c>
      <c r="H452" s="165" t="n">
        <v>0.3</v>
      </c>
      <c r="I452" s="162" t="n">
        <v>0.9</v>
      </c>
      <c r="J452" s="162" t="n">
        <v>1.8</v>
      </c>
      <c r="K452" s="162" t="n">
        <v>3.6</v>
      </c>
      <c r="L452" s="165" t="s">
        <v>557</v>
      </c>
    </row>
    <row r="453" ht="14" customHeight="1">
      <c r="A453" s="167">
        <is>
          <t xml:space="preserve">  ↳ MCP-PB-01 L2 total</t>
        </is>
      </c>
      <c r="B453" s="167" t="n"/>
      <c r="C453" s="167" t="n"/>
      <c r="D453" s="167" t="n"/>
      <c r="E453" s="167" t="n"/>
      <c r="F453" s="167" t="n"/>
      <c r="G453" s="167" t="n"/>
      <c r="H453" s="167" t="n"/>
      <c r="I453" s="168" t="n">
        <v>10.2</v>
      </c>
      <c r="J453" s="168" t="n">
        <v>20.1</v>
      </c>
      <c r="K453" s="168" t="n">
        <v>39</v>
      </c>
      <c r="L453" s="167" t="s">
        <v>854</v>
      </c>
    </row>
    <row r="454" ht="14" customHeight="1">
      <c r="A454" s="145" t="s">
        <v>296</v>
      </c>
      <c r="B454" s="145" t="s">
        <v>297</v>
      </c>
      <c r="C454" s="145" t="n">
        <v>7</v>
      </c>
      <c r="D454" s="145" t="n">
        <v>1</v>
      </c>
      <c r="E454" s="145" t="s">
        <v>855</v>
      </c>
      <c r="F454" s="145" t="s">
        <v>476</v>
      </c>
      <c r="G454" s="164" t="s">
        <v>528</v>
      </c>
      <c r="H454" s="147" t="n">
        <v>0.3</v>
      </c>
      <c r="I454" s="148" t="n">
        <v>1.5</v>
      </c>
      <c r="J454" s="148" t="n">
        <v>2.4</v>
      </c>
      <c r="K454" s="148" t="n">
        <v>4.5</v>
      </c>
      <c r="L454" s="147" t="s">
        <v>542</v>
      </c>
    </row>
    <row r="455" ht="14" customHeight="1">
      <c r="A455" s="145" t="s">
        <v>296</v>
      </c>
      <c r="B455" s="145" t="s">
        <v>297</v>
      </c>
      <c r="C455" s="145" t="n">
        <v>7</v>
      </c>
      <c r="D455" s="145" t="n">
        <v>2</v>
      </c>
      <c r="E455" s="145" t="s">
        <v>856</v>
      </c>
      <c r="F455" s="145" t="s">
        <v>487</v>
      </c>
      <c r="G455" s="164" t="s">
        <v>528</v>
      </c>
      <c r="H455" s="147" t="n">
        <v>0.3</v>
      </c>
      <c r="I455" s="148" t="n">
        <v>2.4</v>
      </c>
      <c r="J455" s="148" t="n">
        <v>5.4</v>
      </c>
      <c r="K455" s="148" t="n">
        <v>10.5</v>
      </c>
      <c r="L455" s="147" t="s">
        <v>547</v>
      </c>
    </row>
    <row r="456" ht="14" customHeight="1">
      <c r="A456" s="145" t="s">
        <v>296</v>
      </c>
      <c r="B456" s="145" t="s">
        <v>297</v>
      </c>
      <c r="C456" s="145" t="n">
        <v>7</v>
      </c>
      <c r="D456" s="145" t="n">
        <v>3</v>
      </c>
      <c r="E456" s="145" t="s">
        <v>759</v>
      </c>
      <c r="F456" s="145" t="s">
        <v>496</v>
      </c>
      <c r="G456" s="164" t="s">
        <v>528</v>
      </c>
      <c r="H456" s="147" t="n">
        <v>0.3</v>
      </c>
      <c r="I456" s="148" t="n">
        <v>3</v>
      </c>
      <c r="J456" s="148" t="n">
        <v>6</v>
      </c>
      <c r="K456" s="148" t="n">
        <v>12</v>
      </c>
      <c r="L456" s="147" t="s">
        <v>553</v>
      </c>
    </row>
    <row r="457" ht="14" customHeight="1">
      <c r="A457" s="145" t="s">
        <v>296</v>
      </c>
      <c r="B457" s="145" t="s">
        <v>297</v>
      </c>
      <c r="C457" s="145" t="n">
        <v>7</v>
      </c>
      <c r="D457" s="145" t="n">
        <v>4</v>
      </c>
      <c r="E457" s="145" t="s">
        <v>554</v>
      </c>
      <c r="F457" s="145" t="s">
        <v>499</v>
      </c>
      <c r="G457" s="164" t="s">
        <v>528</v>
      </c>
      <c r="H457" s="147" t="n">
        <v>0.3</v>
      </c>
      <c r="I457" s="148" t="n">
        <v>2.4</v>
      </c>
      <c r="J457" s="148" t="n">
        <v>4.5</v>
      </c>
      <c r="K457" s="148" t="n">
        <v>8.4</v>
      </c>
      <c r="L457" s="147" t="s">
        <v>555</v>
      </c>
    </row>
    <row r="458" ht="14" customHeight="1">
      <c r="A458" s="145" t="s">
        <v>296</v>
      </c>
      <c r="B458" s="145" t="s">
        <v>297</v>
      </c>
      <c r="C458" s="145" t="n">
        <v>7</v>
      </c>
      <c r="D458" s="145" t="n">
        <v>5</v>
      </c>
      <c r="E458" s="145" t="s">
        <v>760</v>
      </c>
      <c r="F458" s="145" t="s">
        <v>502</v>
      </c>
      <c r="G458" s="164" t="s">
        <v>528</v>
      </c>
      <c r="H458" s="147" t="n">
        <v>0.3</v>
      </c>
      <c r="I458" s="148" t="n">
        <v>0.9</v>
      </c>
      <c r="J458" s="148" t="n">
        <v>1.8</v>
      </c>
      <c r="K458" s="148" t="n">
        <v>3.6</v>
      </c>
      <c r="L458" s="147" t="s">
        <v>557</v>
      </c>
    </row>
    <row r="459" ht="14" customHeight="1">
      <c r="A459" s="167">
        <is>
          <t xml:space="preserve">  ↳ MCP-WF-01 L2 total</t>
        </is>
      </c>
      <c r="B459" s="167" t="n"/>
      <c r="C459" s="167" t="n"/>
      <c r="D459" s="167" t="n"/>
      <c r="E459" s="167" t="n"/>
      <c r="F459" s="167" t="n"/>
      <c r="G459" s="167" t="n"/>
      <c r="H459" s="167" t="n"/>
      <c r="I459" s="168" t="n">
        <v>10.2</v>
      </c>
      <c r="J459" s="168" t="n">
        <v>20.1</v>
      </c>
      <c r="K459" s="168" t="n">
        <v>39</v>
      </c>
      <c r="L459" s="167" t="s">
        <v>857</v>
      </c>
    </row>
    <row r="460" ht="14" customHeight="1">
      <c r="A460" s="145" t="s">
        <v>300</v>
      </c>
      <c r="B460" s="145" t="s">
        <v>301</v>
      </c>
      <c r="C460" s="145" t="n">
        <v>8</v>
      </c>
      <c r="D460" s="145" t="n">
        <v>1</v>
      </c>
      <c r="E460" s="145" t="s">
        <v>858</v>
      </c>
      <c r="F460" s="145" t="s">
        <v>476</v>
      </c>
      <c r="G460" s="164" t="s">
        <v>528</v>
      </c>
      <c r="H460" s="147" t="n">
        <v>0.3</v>
      </c>
      <c r="I460" s="148" t="n">
        <v>1.5</v>
      </c>
      <c r="J460" s="148" t="n">
        <v>2.4</v>
      </c>
      <c r="K460" s="148" t="n">
        <v>4.5</v>
      </c>
      <c r="L460" s="147" t="s">
        <v>542</v>
      </c>
    </row>
    <row r="461" ht="14" customHeight="1">
      <c r="A461" s="145" t="s">
        <v>300</v>
      </c>
      <c r="B461" s="145" t="s">
        <v>301</v>
      </c>
      <c r="C461" s="145" t="n">
        <v>8</v>
      </c>
      <c r="D461" s="145" t="n">
        <v>2</v>
      </c>
      <c r="E461" s="145" t="s">
        <v>859</v>
      </c>
      <c r="F461" s="145" t="s">
        <v>487</v>
      </c>
      <c r="G461" s="164" t="s">
        <v>528</v>
      </c>
      <c r="H461" s="147" t="n">
        <v>0.3</v>
      </c>
      <c r="I461" s="148" t="n">
        <v>2.4</v>
      </c>
      <c r="J461" s="148" t="n">
        <v>5.4</v>
      </c>
      <c r="K461" s="148" t="n">
        <v>10.5</v>
      </c>
      <c r="L461" s="147" t="s">
        <v>547</v>
      </c>
    </row>
    <row r="462" ht="14" customHeight="1">
      <c r="A462" s="145" t="s">
        <v>300</v>
      </c>
      <c r="B462" s="145" t="s">
        <v>301</v>
      </c>
      <c r="C462" s="145" t="n">
        <v>8</v>
      </c>
      <c r="D462" s="145" t="n">
        <v>3</v>
      </c>
      <c r="E462" s="145" t="s">
        <v>759</v>
      </c>
      <c r="F462" s="145" t="s">
        <v>496</v>
      </c>
      <c r="G462" s="164" t="s">
        <v>528</v>
      </c>
      <c r="H462" s="147" t="n">
        <v>0.3</v>
      </c>
      <c r="I462" s="148" t="n">
        <v>3</v>
      </c>
      <c r="J462" s="148" t="n">
        <v>6</v>
      </c>
      <c r="K462" s="148" t="n">
        <v>12</v>
      </c>
      <c r="L462" s="147" t="s">
        <v>553</v>
      </c>
    </row>
    <row r="463" ht="14" customHeight="1">
      <c r="A463" s="145" t="s">
        <v>300</v>
      </c>
      <c r="B463" s="145" t="s">
        <v>301</v>
      </c>
      <c r="C463" s="145" t="n">
        <v>8</v>
      </c>
      <c r="D463" s="145" t="n">
        <v>4</v>
      </c>
      <c r="E463" s="145" t="s">
        <v>554</v>
      </c>
      <c r="F463" s="145" t="s">
        <v>499</v>
      </c>
      <c r="G463" s="164" t="s">
        <v>528</v>
      </c>
      <c r="H463" s="147" t="n">
        <v>0.3</v>
      </c>
      <c r="I463" s="148" t="n">
        <v>2.4</v>
      </c>
      <c r="J463" s="148" t="n">
        <v>4.5</v>
      </c>
      <c r="K463" s="148" t="n">
        <v>8.4</v>
      </c>
      <c r="L463" s="147" t="s">
        <v>555</v>
      </c>
    </row>
    <row r="464" ht="14" customHeight="1">
      <c r="A464" s="145" t="s">
        <v>300</v>
      </c>
      <c r="B464" s="145" t="s">
        <v>301</v>
      </c>
      <c r="C464" s="145" t="n">
        <v>8</v>
      </c>
      <c r="D464" s="145" t="n">
        <v>5</v>
      </c>
      <c r="E464" s="145" t="s">
        <v>760</v>
      </c>
      <c r="F464" s="145" t="s">
        <v>502</v>
      </c>
      <c r="G464" s="164" t="s">
        <v>528</v>
      </c>
      <c r="H464" s="147" t="n">
        <v>0.3</v>
      </c>
      <c r="I464" s="148" t="n">
        <v>0.9</v>
      </c>
      <c r="J464" s="148" t="n">
        <v>1.8</v>
      </c>
      <c r="K464" s="148" t="n">
        <v>3.6</v>
      </c>
      <c r="L464" s="147" t="s">
        <v>557</v>
      </c>
    </row>
    <row r="465" ht="14" customHeight="1">
      <c r="A465" s="167">
        <is>
          <t xml:space="preserve">  ↳ MCP-ACT-01 L2 total</t>
        </is>
      </c>
      <c r="B465" s="167" t="n"/>
      <c r="C465" s="167" t="n"/>
      <c r="D465" s="167" t="n"/>
      <c r="E465" s="167" t="n"/>
      <c r="F465" s="167" t="n"/>
      <c r="G465" s="167" t="n"/>
      <c r="H465" s="167" t="n"/>
      <c r="I465" s="168" t="n">
        <v>10.2</v>
      </c>
      <c r="J465" s="168" t="n">
        <v>20.1</v>
      </c>
      <c r="K465" s="168" t="n">
        <v>39</v>
      </c>
      <c r="L465" s="167" t="s">
        <v>857</v>
      </c>
    </row>
    <row r="466" ht="14" customHeight="1">
      <c r="A466" s="156" t="s">
        <v>304</v>
      </c>
      <c r="B466" s="156" t="s">
        <v>305</v>
      </c>
      <c r="C466" s="156" t="n">
        <v>8</v>
      </c>
      <c r="D466" s="156" t="n">
        <v>1</v>
      </c>
      <c r="E466" s="156" t="s">
        <v>860</v>
      </c>
      <c r="F466" s="156" t="s">
        <v>476</v>
      </c>
      <c r="G466" s="164" t="s">
        <v>528</v>
      </c>
      <c r="H466" s="169" t="n">
        <v>0.3</v>
      </c>
      <c r="I466" s="158" t="n">
        <v>1.5</v>
      </c>
      <c r="J466" s="158" t="n">
        <v>2.4</v>
      </c>
      <c r="K466" s="158" t="n">
        <v>4.5</v>
      </c>
      <c r="L466" s="169" t="s">
        <v>542</v>
      </c>
    </row>
    <row r="467" ht="14" customHeight="1">
      <c r="A467" s="156" t="s">
        <v>304</v>
      </c>
      <c r="B467" s="156" t="s">
        <v>305</v>
      </c>
      <c r="C467" s="156" t="n">
        <v>8</v>
      </c>
      <c r="D467" s="156" t="n">
        <v>2</v>
      </c>
      <c r="E467" s="156" t="s">
        <v>861</v>
      </c>
      <c r="F467" s="156" t="s">
        <v>487</v>
      </c>
      <c r="G467" s="164" t="s">
        <v>528</v>
      </c>
      <c r="H467" s="169" t="n">
        <v>0.3</v>
      </c>
      <c r="I467" s="158" t="n">
        <v>2.4</v>
      </c>
      <c r="J467" s="158" t="n">
        <v>5.4</v>
      </c>
      <c r="K467" s="158" t="n">
        <v>10.5</v>
      </c>
      <c r="L467" s="169" t="s">
        <v>547</v>
      </c>
    </row>
    <row r="468" ht="14" customHeight="1">
      <c r="A468" s="156" t="s">
        <v>304</v>
      </c>
      <c r="B468" s="156" t="s">
        <v>305</v>
      </c>
      <c r="C468" s="156" t="n">
        <v>8</v>
      </c>
      <c r="D468" s="156" t="n">
        <v>3</v>
      </c>
      <c r="E468" s="156" t="s">
        <v>759</v>
      </c>
      <c r="F468" s="156" t="s">
        <v>496</v>
      </c>
      <c r="G468" s="164" t="s">
        <v>528</v>
      </c>
      <c r="H468" s="169" t="n">
        <v>0.3</v>
      </c>
      <c r="I468" s="158" t="n">
        <v>3</v>
      </c>
      <c r="J468" s="158" t="n">
        <v>6</v>
      </c>
      <c r="K468" s="158" t="n">
        <v>12</v>
      </c>
      <c r="L468" s="169" t="s">
        <v>553</v>
      </c>
    </row>
    <row r="469" ht="14" customHeight="1">
      <c r="A469" s="156" t="s">
        <v>304</v>
      </c>
      <c r="B469" s="156" t="s">
        <v>305</v>
      </c>
      <c r="C469" s="156" t="n">
        <v>8</v>
      </c>
      <c r="D469" s="156" t="n">
        <v>4</v>
      </c>
      <c r="E469" s="156" t="s">
        <v>760</v>
      </c>
      <c r="F469" s="156" t="s">
        <v>502</v>
      </c>
      <c r="G469" s="164" t="s">
        <v>528</v>
      </c>
      <c r="H469" s="169" t="n">
        <v>0.3</v>
      </c>
      <c r="I469" s="158" t="n">
        <v>0.9</v>
      </c>
      <c r="J469" s="158" t="n">
        <v>1.8</v>
      </c>
      <c r="K469" s="158" t="n">
        <v>3.6</v>
      </c>
      <c r="L469" s="169" t="s">
        <v>557</v>
      </c>
    </row>
    <row r="470" ht="14" customHeight="1">
      <c r="A470" s="167">
        <is>
          <t xml:space="preserve">  ↳ MCP-AG-01 L2 total</t>
        </is>
      </c>
      <c r="B470" s="167" t="n"/>
      <c r="C470" s="167" t="n"/>
      <c r="D470" s="167" t="n"/>
      <c r="E470" s="167" t="n"/>
      <c r="F470" s="167" t="n"/>
      <c r="G470" s="167" t="n"/>
      <c r="H470" s="167" t="n"/>
      <c r="I470" s="168" t="n">
        <v>7.8</v>
      </c>
      <c r="J470" s="168" t="n">
        <v>15.6</v>
      </c>
      <c r="K470" s="168" t="n">
        <v>30.6</v>
      </c>
      <c r="L470" s="167" t="s">
        <v>862</v>
      </c>
    </row>
    <row r="471" ht="14" customHeight="1">
      <c r="A471" s="145" t="s">
        <v>308</v>
      </c>
      <c r="B471" s="145" t="s">
        <v>309</v>
      </c>
      <c r="C471" s="145" t="n">
        <v>8</v>
      </c>
      <c r="D471" s="145" t="n">
        <v>1</v>
      </c>
      <c r="E471" s="145" t="s">
        <v>863</v>
      </c>
      <c r="F471" s="145" t="s">
        <v>476</v>
      </c>
      <c r="G471" s="164" t="s">
        <v>528</v>
      </c>
      <c r="H471" s="147" t="n">
        <v>0.3</v>
      </c>
      <c r="I471" s="148" t="n">
        <v>1.5</v>
      </c>
      <c r="J471" s="148" t="n">
        <v>2.4</v>
      </c>
      <c r="K471" s="148" t="n">
        <v>4.5</v>
      </c>
      <c r="L471" s="147" t="s">
        <v>542</v>
      </c>
    </row>
    <row r="472" ht="14" customHeight="1">
      <c r="A472" s="145" t="s">
        <v>308</v>
      </c>
      <c r="B472" s="145" t="s">
        <v>309</v>
      </c>
      <c r="C472" s="145" t="n">
        <v>8</v>
      </c>
      <c r="D472" s="145" t="n">
        <v>2</v>
      </c>
      <c r="E472" s="145" t="s">
        <v>864</v>
      </c>
      <c r="F472" s="145" t="s">
        <v>487</v>
      </c>
      <c r="G472" s="164" t="s">
        <v>528</v>
      </c>
      <c r="H472" s="147" t="n">
        <v>0.3</v>
      </c>
      <c r="I472" s="148" t="n">
        <v>2.4</v>
      </c>
      <c r="J472" s="148" t="n">
        <v>5.4</v>
      </c>
      <c r="K472" s="148" t="n">
        <v>10.5</v>
      </c>
      <c r="L472" s="147" t="s">
        <v>547</v>
      </c>
    </row>
    <row r="473" ht="14" customHeight="1">
      <c r="A473" s="145" t="s">
        <v>308</v>
      </c>
      <c r="B473" s="145" t="s">
        <v>309</v>
      </c>
      <c r="C473" s="145" t="n">
        <v>8</v>
      </c>
      <c r="D473" s="145" t="n">
        <v>3</v>
      </c>
      <c r="E473" s="145" t="s">
        <v>759</v>
      </c>
      <c r="F473" s="145" t="s">
        <v>496</v>
      </c>
      <c r="G473" s="164" t="s">
        <v>528</v>
      </c>
      <c r="H473" s="147" t="n">
        <v>0.3</v>
      </c>
      <c r="I473" s="148" t="n">
        <v>3</v>
      </c>
      <c r="J473" s="148" t="n">
        <v>6</v>
      </c>
      <c r="K473" s="148" t="n">
        <v>12</v>
      </c>
      <c r="L473" s="147" t="s">
        <v>553</v>
      </c>
    </row>
    <row r="474" ht="14" customHeight="1">
      <c r="A474" s="145" t="s">
        <v>308</v>
      </c>
      <c r="B474" s="145" t="s">
        <v>309</v>
      </c>
      <c r="C474" s="145" t="n">
        <v>8</v>
      </c>
      <c r="D474" s="145" t="n">
        <v>4</v>
      </c>
      <c r="E474" s="145" t="s">
        <v>760</v>
      </c>
      <c r="F474" s="145" t="s">
        <v>502</v>
      </c>
      <c r="G474" s="164" t="s">
        <v>528</v>
      </c>
      <c r="H474" s="147" t="n">
        <v>0.3</v>
      </c>
      <c r="I474" s="148" t="n">
        <v>0.9</v>
      </c>
      <c r="J474" s="148" t="n">
        <v>1.8</v>
      </c>
      <c r="K474" s="148" t="n">
        <v>3.6</v>
      </c>
      <c r="L474" s="147" t="s">
        <v>557</v>
      </c>
    </row>
    <row r="475" ht="14" customHeight="1">
      <c r="A475" s="167">
        <is>
          <t xml:space="preserve">  ↳ MCP-SK-01 L2 total</t>
        </is>
      </c>
      <c r="B475" s="167" t="n"/>
      <c r="C475" s="167" t="n"/>
      <c r="D475" s="167" t="n"/>
      <c r="E475" s="167" t="n"/>
      <c r="F475" s="167" t="n"/>
      <c r="G475" s="167" t="n"/>
      <c r="H475" s="167" t="n"/>
      <c r="I475" s="168" t="n">
        <v>7.8</v>
      </c>
      <c r="J475" s="168" t="n">
        <v>15.6</v>
      </c>
      <c r="K475" s="168" t="n">
        <v>30.6</v>
      </c>
      <c r="L475" s="167" t="s">
        <v>865</v>
      </c>
    </row>
    <row r="476" ht="14" customHeight="1">
      <c r="A476" s="156" t="s">
        <v>312</v>
      </c>
      <c r="B476" s="156" t="s">
        <v>313</v>
      </c>
      <c r="C476" s="156" t="n">
        <v>8</v>
      </c>
      <c r="D476" s="156" t="n">
        <v>1</v>
      </c>
      <c r="E476" s="156" t="s">
        <v>866</v>
      </c>
      <c r="F476" s="156" t="s">
        <v>476</v>
      </c>
      <c r="G476" s="146" t="s">
        <v>477</v>
      </c>
      <c r="H476" s="169" t="n">
        <v>1</v>
      </c>
      <c r="I476" s="158" t="n">
        <v>5</v>
      </c>
      <c r="J476" s="158" t="n">
        <v>8</v>
      </c>
      <c r="K476" s="158" t="n">
        <v>15</v>
      </c>
      <c r="L476" s="169" t="s">
        <v>478</v>
      </c>
    </row>
    <row r="477" ht="14" customHeight="1">
      <c r="A477" s="156" t="s">
        <v>312</v>
      </c>
      <c r="B477" s="156" t="s">
        <v>313</v>
      </c>
      <c r="C477" s="156" t="n">
        <v>8</v>
      </c>
      <c r="D477" s="156" t="n">
        <v>2</v>
      </c>
      <c r="E477" s="156" t="s">
        <v>867</v>
      </c>
      <c r="F477" s="156" t="s">
        <v>480</v>
      </c>
      <c r="G477" s="149" t="s">
        <v>481</v>
      </c>
      <c r="H477" s="169" t="n">
        <v>0.6</v>
      </c>
      <c r="I477" s="158" t="n">
        <v>4.8</v>
      </c>
      <c r="J477" s="158" t="n">
        <v>9</v>
      </c>
      <c r="K477" s="158" t="n">
        <v>16.8</v>
      </c>
      <c r="L477" s="169" t="s">
        <v>482</v>
      </c>
    </row>
    <row r="478" ht="14" customHeight="1">
      <c r="A478" s="156" t="s">
        <v>312</v>
      </c>
      <c r="B478" s="156" t="s">
        <v>313</v>
      </c>
      <c r="C478" s="156" t="n">
        <v>8</v>
      </c>
      <c r="D478" s="156" t="n">
        <v>3</v>
      </c>
      <c r="E478" s="156" t="s">
        <v>868</v>
      </c>
      <c r="F478" s="156" t="s">
        <v>487</v>
      </c>
      <c r="G478" s="146" t="s">
        <v>477</v>
      </c>
      <c r="H478" s="169" t="n">
        <v>1</v>
      </c>
      <c r="I478" s="158" t="n">
        <v>8</v>
      </c>
      <c r="J478" s="158" t="n">
        <v>18</v>
      </c>
      <c r="K478" s="158" t="n">
        <v>35</v>
      </c>
      <c r="L478" s="169" t="s">
        <v>488</v>
      </c>
    </row>
    <row r="479" ht="14" customHeight="1">
      <c r="A479" s="156" t="s">
        <v>312</v>
      </c>
      <c r="B479" s="156" t="s">
        <v>313</v>
      </c>
      <c r="C479" s="156" t="n">
        <v>8</v>
      </c>
      <c r="D479" s="156" t="n">
        <v>4</v>
      </c>
      <c r="E479" s="156" t="s">
        <v>869</v>
      </c>
      <c r="F479" s="156" t="s">
        <v>490</v>
      </c>
      <c r="G479" s="146" t="s">
        <v>477</v>
      </c>
      <c r="H479" s="169" t="n">
        <v>1</v>
      </c>
      <c r="I479" s="158" t="n">
        <v>6</v>
      </c>
      <c r="J479" s="158" t="n">
        <v>12</v>
      </c>
      <c r="K479" s="158" t="n">
        <v>22</v>
      </c>
      <c r="L479" s="169" t="s">
        <v>491</v>
      </c>
    </row>
    <row r="480" ht="14" customHeight="1">
      <c r="A480" s="156" t="s">
        <v>312</v>
      </c>
      <c r="B480" s="156" t="s">
        <v>313</v>
      </c>
      <c r="C480" s="156" t="n">
        <v>8</v>
      </c>
      <c r="D480" s="156" t="n">
        <v>5</v>
      </c>
      <c r="E480" s="156" t="s">
        <v>870</v>
      </c>
      <c r="F480" s="156" t="s">
        <v>493</v>
      </c>
      <c r="G480" s="146" t="s">
        <v>477</v>
      </c>
      <c r="H480" s="169" t="n">
        <v>1</v>
      </c>
      <c r="I480" s="158" t="n">
        <v>8</v>
      </c>
      <c r="J480" s="158" t="n">
        <v>16</v>
      </c>
      <c r="K480" s="158" t="n">
        <v>30</v>
      </c>
      <c r="L480" s="169" t="s">
        <v>494</v>
      </c>
    </row>
    <row r="481" ht="14" customHeight="1">
      <c r="A481" s="156" t="s">
        <v>312</v>
      </c>
      <c r="B481" s="156" t="s">
        <v>313</v>
      </c>
      <c r="C481" s="156" t="n">
        <v>8</v>
      </c>
      <c r="D481" s="156" t="n">
        <v>6</v>
      </c>
      <c r="E481" s="156" t="s">
        <v>871</v>
      </c>
      <c r="F481" s="156" t="s">
        <v>496</v>
      </c>
      <c r="G481" s="146" t="s">
        <v>477</v>
      </c>
      <c r="H481" s="169" t="n">
        <v>1</v>
      </c>
      <c r="I481" s="158" t="n">
        <v>10</v>
      </c>
      <c r="J481" s="158" t="n">
        <v>20</v>
      </c>
      <c r="K481" s="158" t="n">
        <v>40</v>
      </c>
      <c r="L481" s="169" t="s">
        <v>497</v>
      </c>
    </row>
    <row r="482" ht="14" customHeight="1">
      <c r="A482" s="156" t="s">
        <v>312</v>
      </c>
      <c r="B482" s="156" t="s">
        <v>313</v>
      </c>
      <c r="C482" s="156" t="n">
        <v>8</v>
      </c>
      <c r="D482" s="156" t="n">
        <v>7</v>
      </c>
      <c r="E482" s="156" t="s">
        <v>872</v>
      </c>
      <c r="F482" s="156" t="s">
        <v>499</v>
      </c>
      <c r="G482" s="146" t="s">
        <v>477</v>
      </c>
      <c r="H482" s="169" t="n">
        <v>1</v>
      </c>
      <c r="I482" s="158" t="n">
        <v>8</v>
      </c>
      <c r="J482" s="158" t="n">
        <v>15</v>
      </c>
      <c r="K482" s="158" t="n">
        <v>28</v>
      </c>
      <c r="L482" s="169" t="s">
        <v>500</v>
      </c>
    </row>
    <row r="483" ht="14" customHeight="1">
      <c r="A483" s="156" t="s">
        <v>312</v>
      </c>
      <c r="B483" s="156" t="s">
        <v>313</v>
      </c>
      <c r="C483" s="156" t="n">
        <v>8</v>
      </c>
      <c r="D483" s="156" t="n">
        <v>8</v>
      </c>
      <c r="E483" s="156" t="s">
        <v>501</v>
      </c>
      <c r="F483" s="156" t="s">
        <v>502</v>
      </c>
      <c r="G483" s="146" t="s">
        <v>477</v>
      </c>
      <c r="H483" s="169" t="n">
        <v>1</v>
      </c>
      <c r="I483" s="158" t="n">
        <v>3</v>
      </c>
      <c r="J483" s="158" t="n">
        <v>6</v>
      </c>
      <c r="K483" s="158" t="n">
        <v>12</v>
      </c>
      <c r="L483" s="169" t="s">
        <v>503</v>
      </c>
    </row>
    <row r="484" ht="14" customHeight="1">
      <c r="A484" s="167">
        <is>
          <t xml:space="preserve">  ↳ SET-01 L2 total</t>
        </is>
      </c>
      <c r="B484" s="167" t="n"/>
      <c r="C484" s="167" t="n"/>
      <c r="D484" s="167" t="n"/>
      <c r="E484" s="167" t="n"/>
      <c r="F484" s="167" t="n"/>
      <c r="G484" s="167" t="n"/>
      <c r="H484" s="167" t="n"/>
      <c r="I484" s="168" t="n">
        <v>52.8</v>
      </c>
      <c r="J484" s="168" t="n">
        <v>104</v>
      </c>
      <c r="K484" s="168" t="n">
        <v>198.8</v>
      </c>
      <c r="L484" s="167" t="s">
        <v>873</v>
      </c>
    </row>
    <row r="485" ht="14" customHeight="1">
      <c r="A485" s="145" t="s">
        <v>317</v>
      </c>
      <c r="B485" s="145" t="s">
        <v>318</v>
      </c>
      <c r="C485" s="145" t="n">
        <v>8</v>
      </c>
      <c r="D485" s="145" t="n">
        <v>1</v>
      </c>
      <c r="E485" s="145" t="s">
        <v>874</v>
      </c>
      <c r="F485" s="145" t="s">
        <v>476</v>
      </c>
      <c r="G485" s="146" t="s">
        <v>477</v>
      </c>
      <c r="H485" s="147" t="n">
        <v>1</v>
      </c>
      <c r="I485" s="148" t="n">
        <v>5</v>
      </c>
      <c r="J485" s="148" t="n">
        <v>8</v>
      </c>
      <c r="K485" s="148" t="n">
        <v>15</v>
      </c>
      <c r="L485" s="147" t="s">
        <v>478</v>
      </c>
    </row>
    <row r="486" ht="14" customHeight="1">
      <c r="A486" s="145" t="s">
        <v>317</v>
      </c>
      <c r="B486" s="145" t="s">
        <v>318</v>
      </c>
      <c r="C486" s="145" t="n">
        <v>8</v>
      </c>
      <c r="D486" s="145" t="n">
        <v>2</v>
      </c>
      <c r="E486" s="145" t="s">
        <v>875</v>
      </c>
      <c r="F486" s="145" t="s">
        <v>490</v>
      </c>
      <c r="G486" s="149" t="s">
        <v>481</v>
      </c>
      <c r="H486" s="147" t="n">
        <v>0.6</v>
      </c>
      <c r="I486" s="148" t="n">
        <v>3.6</v>
      </c>
      <c r="J486" s="148" t="n">
        <v>7.2</v>
      </c>
      <c r="K486" s="148" t="n">
        <v>13.2</v>
      </c>
      <c r="L486" s="147" t="s">
        <v>565</v>
      </c>
    </row>
    <row r="487" ht="14" customHeight="1">
      <c r="A487" s="145" t="s">
        <v>317</v>
      </c>
      <c r="B487" s="145" t="s">
        <v>318</v>
      </c>
      <c r="C487" s="145" t="n">
        <v>8</v>
      </c>
      <c r="D487" s="145" t="n">
        <v>3</v>
      </c>
      <c r="E487" s="145" t="s">
        <v>876</v>
      </c>
      <c r="F487" s="145" t="s">
        <v>493</v>
      </c>
      <c r="G487" s="146" t="s">
        <v>477</v>
      </c>
      <c r="H487" s="147" t="n">
        <v>1</v>
      </c>
      <c r="I487" s="148" t="n">
        <v>8</v>
      </c>
      <c r="J487" s="148" t="n">
        <v>16</v>
      </c>
      <c r="K487" s="148" t="n">
        <v>30</v>
      </c>
      <c r="L487" s="147" t="s">
        <v>494</v>
      </c>
    </row>
    <row r="488" ht="14" customHeight="1">
      <c r="A488" s="145" t="s">
        <v>317</v>
      </c>
      <c r="B488" s="145" t="s">
        <v>318</v>
      </c>
      <c r="C488" s="145" t="n">
        <v>8</v>
      </c>
      <c r="D488" s="145" t="n">
        <v>4</v>
      </c>
      <c r="E488" s="145" t="s">
        <v>877</v>
      </c>
      <c r="F488" s="145" t="s">
        <v>496</v>
      </c>
      <c r="G488" s="146" t="s">
        <v>477</v>
      </c>
      <c r="H488" s="147" t="n">
        <v>1</v>
      </c>
      <c r="I488" s="148" t="n">
        <v>10</v>
      </c>
      <c r="J488" s="148" t="n">
        <v>20</v>
      </c>
      <c r="K488" s="148" t="n">
        <v>40</v>
      </c>
      <c r="L488" s="147" t="s">
        <v>497</v>
      </c>
    </row>
    <row r="489" ht="14" customHeight="1">
      <c r="A489" s="145" t="s">
        <v>317</v>
      </c>
      <c r="B489" s="145" t="s">
        <v>318</v>
      </c>
      <c r="C489" s="145" t="n">
        <v>8</v>
      </c>
      <c r="D489" s="145" t="n">
        <v>5</v>
      </c>
      <c r="E489" s="145" t="s">
        <v>878</v>
      </c>
      <c r="F489" s="145" t="s">
        <v>499</v>
      </c>
      <c r="G489" s="146" t="s">
        <v>477</v>
      </c>
      <c r="H489" s="147" t="n">
        <v>1</v>
      </c>
      <c r="I489" s="148" t="n">
        <v>8</v>
      </c>
      <c r="J489" s="148" t="n">
        <v>15</v>
      </c>
      <c r="K489" s="148" t="n">
        <v>28</v>
      </c>
      <c r="L489" s="147" t="s">
        <v>500</v>
      </c>
    </row>
    <row r="490" ht="14" customHeight="1">
      <c r="A490" s="145" t="s">
        <v>317</v>
      </c>
      <c r="B490" s="145" t="s">
        <v>318</v>
      </c>
      <c r="C490" s="145" t="n">
        <v>8</v>
      </c>
      <c r="D490" s="145" t="n">
        <v>6</v>
      </c>
      <c r="E490" s="145" t="s">
        <v>501</v>
      </c>
      <c r="F490" s="145" t="s">
        <v>502</v>
      </c>
      <c r="G490" s="146" t="s">
        <v>477</v>
      </c>
      <c r="H490" s="147" t="n">
        <v>1</v>
      </c>
      <c r="I490" s="148" t="n">
        <v>3</v>
      </c>
      <c r="J490" s="148" t="n">
        <v>6</v>
      </c>
      <c r="K490" s="148" t="n">
        <v>12</v>
      </c>
      <c r="L490" s="147" t="s">
        <v>503</v>
      </c>
    </row>
    <row r="491" ht="14" customHeight="1">
      <c r="A491" s="167">
        <is>
          <t xml:space="preserve">  ↳ ERR-01 L2 total</t>
        </is>
      </c>
      <c r="B491" s="167" t="n"/>
      <c r="C491" s="167" t="n"/>
      <c r="D491" s="167" t="n"/>
      <c r="E491" s="167" t="n"/>
      <c r="F491" s="167" t="n"/>
      <c r="G491" s="167" t="n"/>
      <c r="H491" s="167" t="n"/>
      <c r="I491" s="168" t="n">
        <v>37.6</v>
      </c>
      <c r="J491" s="168" t="n">
        <v>72.2</v>
      </c>
      <c r="K491" s="168" t="n">
        <v>138.2</v>
      </c>
      <c r="L491" s="167" t="s">
        <v>879</v>
      </c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7" customWidth="1" min="3" max="3"/>
    <col width="6" customWidth="1" min="4" max="4"/>
    <col width="6" customWidth="1" min="5" max="5"/>
    <col width="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32" customWidth="1" min="17" max="17"/>
  </cols>
  <sheetData>
    <row r="1" ht="24" customHeight="1">
      <c r="A1" s="100" t="s">
        <v>880</v>
      </c>
    </row>
    <row r="2" ht="18" customHeight="1">
      <c r="A2" s="101" t="s">
        <v>84</v>
      </c>
      <c r="B2" s="101" t="s">
        <v>85</v>
      </c>
      <c r="C2" s="101" t="s">
        <v>469</v>
      </c>
      <c r="D2" s="101" t="s">
        <v>58</v>
      </c>
      <c r="E2" s="101" t="s">
        <v>881</v>
      </c>
      <c r="F2" s="101" t="s">
        <v>20</v>
      </c>
      <c r="G2" s="101" t="s">
        <v>882</v>
      </c>
      <c r="H2" s="101" t="s">
        <v>883</v>
      </c>
      <c r="I2" s="101" t="s">
        <v>884</v>
      </c>
      <c r="J2" s="101" t="s">
        <v>885</v>
      </c>
      <c r="K2" s="101" t="s">
        <v>886</v>
      </c>
      <c r="L2" s="101" t="s">
        <v>887</v>
      </c>
      <c r="M2" s="101" t="s">
        <v>888</v>
      </c>
      <c r="N2" s="101" t="s">
        <v>889</v>
      </c>
      <c r="O2" s="101" t="s">
        <v>890</v>
      </c>
      <c r="P2" s="101" t="s">
        <v>64</v>
      </c>
      <c r="Q2" s="101" t="s">
        <v>82</v>
      </c>
    </row>
    <row r="3" ht="15" customHeight="1">
      <c r="A3" s="145" t="s">
        <v>95</v>
      </c>
      <c r="B3" s="145" t="s">
        <v>96</v>
      </c>
      <c r="C3" s="145" t="n">
        <v>1</v>
      </c>
      <c r="D3" s="145" t="s">
        <v>68</v>
      </c>
      <c r="E3" s="150" t="n">
        <v>1</v>
      </c>
      <c r="F3" s="150" t="n">
        <v>1</v>
      </c>
      <c r="G3" s="150" t="n">
        <v>63.8</v>
      </c>
      <c r="H3" s="150" t="n">
        <v>126</v>
      </c>
      <c r="I3" s="150" t="n">
        <v>240.8</v>
      </c>
      <c r="J3" s="150" t="n">
        <v>39</v>
      </c>
      <c r="K3" s="173">
        <f>IFERROR((H3-J3)/J3,"")</f>
      </c>
      <c r="L3" s="150" t="n"/>
      <c r="M3" s="174" t="n"/>
      <c r="N3" s="175" t="n">
        <v>200</v>
      </c>
      <c r="O3" s="174" t="n"/>
      <c r="P3" s="147" t="s">
        <v>891</v>
      </c>
      <c r="Q3" s="147" t="s">
        <v>892</v>
      </c>
    </row>
    <row r="4" ht="15" customHeight="1">
      <c r="A4" s="176" t="s">
        <v>100</v>
      </c>
      <c r="B4" s="176" t="s">
        <v>101</v>
      </c>
      <c r="C4" s="176" t="n">
        <v>1</v>
      </c>
      <c r="D4" s="176" t="s">
        <v>66</v>
      </c>
      <c r="E4" s="177" t="n">
        <v>0.5</v>
      </c>
      <c r="F4" s="177" t="n">
        <v>0.5</v>
      </c>
      <c r="G4" s="177" t="n">
        <v>38</v>
      </c>
      <c r="H4" s="177" t="n">
        <v>73</v>
      </c>
      <c r="I4" s="177" t="n">
        <v>140</v>
      </c>
      <c r="J4" s="177" t="n">
        <v>10</v>
      </c>
      <c r="K4" s="178">
        <f>IFERROR((H4-J4)/J4,"")</f>
      </c>
      <c r="L4" s="177" t="n"/>
      <c r="M4" s="179" t="n"/>
      <c r="N4" s="180" t="n">
        <v>100</v>
      </c>
      <c r="O4" s="179" t="n"/>
      <c r="P4" s="181" t="s">
        <v>891</v>
      </c>
      <c r="Q4" s="181" t="s">
        <v>893</v>
      </c>
    </row>
    <row r="5" ht="15" customHeight="1">
      <c r="A5" s="145" t="s">
        <v>104</v>
      </c>
      <c r="B5" s="145" t="s">
        <v>105</v>
      </c>
      <c r="C5" s="145" t="n">
        <v>1</v>
      </c>
      <c r="D5" s="145" t="s">
        <v>68</v>
      </c>
      <c r="E5" s="150" t="n">
        <v>1</v>
      </c>
      <c r="F5" s="150" t="n">
        <v>1</v>
      </c>
      <c r="G5" s="150" t="n">
        <v>62</v>
      </c>
      <c r="H5" s="150" t="n">
        <v>122</v>
      </c>
      <c r="I5" s="150" t="n">
        <v>232</v>
      </c>
      <c r="J5" s="150" t="n">
        <v>39</v>
      </c>
      <c r="K5" s="173">
        <f>IFERROR((H5-J5)/J5,"")</f>
      </c>
      <c r="L5" s="150" t="n"/>
      <c r="M5" s="174" t="n"/>
      <c r="N5" s="175" t="n">
        <v>200</v>
      </c>
      <c r="O5" s="174" t="n"/>
      <c r="P5" s="147" t="s">
        <v>891</v>
      </c>
      <c r="Q5" s="147" t="s">
        <v>894</v>
      </c>
    </row>
    <row r="6" ht="15" customHeight="1">
      <c r="A6" s="176" t="s">
        <v>108</v>
      </c>
      <c r="B6" s="176" t="s">
        <v>109</v>
      </c>
      <c r="C6" s="176" t="n">
        <v>1</v>
      </c>
      <c r="D6" s="176" t="s">
        <v>70</v>
      </c>
      <c r="E6" s="177" t="n">
        <v>2</v>
      </c>
      <c r="F6" s="177" t="n">
        <v>2</v>
      </c>
      <c r="G6" s="177" t="n">
        <v>60.2</v>
      </c>
      <c r="H6" s="177" t="n">
        <v>118.3</v>
      </c>
      <c r="I6" s="177" t="n">
        <v>225.4</v>
      </c>
      <c r="J6" s="177" t="n">
        <v>174</v>
      </c>
      <c r="K6" s="178">
        <f>IFERROR((H6-J6)/J6,"")</f>
      </c>
      <c r="L6" s="177" t="n"/>
      <c r="M6" s="179" t="n"/>
      <c r="N6" s="180" t="n">
        <v>400</v>
      </c>
      <c r="O6" s="179" t="n"/>
      <c r="P6" s="181" t="s">
        <v>891</v>
      </c>
      <c r="Q6" s="181" t="s">
        <v>895</v>
      </c>
    </row>
    <row r="7" ht="15" customHeight="1">
      <c r="A7" s="160" t="s">
        <v>113</v>
      </c>
      <c r="B7" s="160" t="s">
        <v>114</v>
      </c>
      <c r="C7" s="160" t="n">
        <v>1</v>
      </c>
      <c r="D7" s="160" t="s">
        <v>70</v>
      </c>
      <c r="E7" s="161" t="n">
        <v>2</v>
      </c>
      <c r="F7" s="161" t="n">
        <v>2</v>
      </c>
      <c r="G7" s="161" t="n">
        <v>20.1</v>
      </c>
      <c r="H7" s="161" t="n">
        <v>39.6</v>
      </c>
      <c r="I7" s="161" t="n">
        <v>75.59999999999999</v>
      </c>
      <c r="J7" s="161" t="n">
        <v>174</v>
      </c>
      <c r="K7" s="182">
        <f>IFERROR((H7-J7)/J7,"")</f>
      </c>
      <c r="L7" s="161" t="n"/>
      <c r="M7" s="183" t="n"/>
      <c r="N7" s="184" t="n">
        <v>400</v>
      </c>
      <c r="O7" s="183" t="n"/>
      <c r="P7" s="165" t="s">
        <v>891</v>
      </c>
      <c r="Q7" s="165" t="s">
        <v>896</v>
      </c>
    </row>
    <row r="8" ht="15" customHeight="1">
      <c r="A8" s="176" t="s">
        <v>117</v>
      </c>
      <c r="B8" s="176" t="s">
        <v>118</v>
      </c>
      <c r="C8" s="176" t="n">
        <v>2</v>
      </c>
      <c r="D8" s="176" t="s">
        <v>70</v>
      </c>
      <c r="E8" s="177" t="n">
        <v>2</v>
      </c>
      <c r="F8" s="177" t="n">
        <v>2</v>
      </c>
      <c r="G8" s="177" t="n">
        <v>53.8</v>
      </c>
      <c r="H8" s="177" t="n">
        <v>105.5</v>
      </c>
      <c r="I8" s="177" t="n">
        <v>201.6</v>
      </c>
      <c r="J8" s="177" t="n">
        <v>174</v>
      </c>
      <c r="K8" s="178">
        <f>IFERROR((H8-J8)/J8,"")</f>
      </c>
      <c r="L8" s="177" t="n"/>
      <c r="M8" s="179" t="n"/>
      <c r="N8" s="180" t="n">
        <v>400</v>
      </c>
      <c r="O8" s="179" t="n"/>
      <c r="P8" s="181" t="s">
        <v>891</v>
      </c>
      <c r="Q8" s="181" t="s">
        <v>897</v>
      </c>
    </row>
    <row r="9" ht="15" customHeight="1">
      <c r="A9" s="145" t="s">
        <v>121</v>
      </c>
      <c r="B9" s="145" t="s">
        <v>122</v>
      </c>
      <c r="C9" s="145" t="n">
        <v>2</v>
      </c>
      <c r="D9" s="145" t="s">
        <v>68</v>
      </c>
      <c r="E9" s="150" t="n">
        <v>1</v>
      </c>
      <c r="F9" s="150" t="n">
        <v>1</v>
      </c>
      <c r="G9" s="150" t="n">
        <v>50.6</v>
      </c>
      <c r="H9" s="150" t="n">
        <v>99.09999999999999</v>
      </c>
      <c r="I9" s="150" t="n">
        <v>189.6</v>
      </c>
      <c r="J9" s="150" t="n">
        <v>39</v>
      </c>
      <c r="K9" s="173">
        <f>IFERROR((H9-J9)/J9,"")</f>
      </c>
      <c r="L9" s="150" t="n"/>
      <c r="M9" s="174" t="n"/>
      <c r="N9" s="175" t="n">
        <v>200</v>
      </c>
      <c r="O9" s="174" t="n"/>
      <c r="P9" s="147" t="s">
        <v>891</v>
      </c>
      <c r="Q9" s="147" t="s">
        <v>898</v>
      </c>
    </row>
    <row r="10" ht="15" customHeight="1">
      <c r="A10" s="176" t="s">
        <v>125</v>
      </c>
      <c r="B10" s="176" t="s">
        <v>126</v>
      </c>
      <c r="C10" s="176" t="n">
        <v>2</v>
      </c>
      <c r="D10" s="176" t="s">
        <v>68</v>
      </c>
      <c r="E10" s="177" t="n">
        <v>1</v>
      </c>
      <c r="F10" s="177" t="n">
        <v>1</v>
      </c>
      <c r="G10" s="177" t="n">
        <v>44.6</v>
      </c>
      <c r="H10" s="177" t="n">
        <v>87.09999999999999</v>
      </c>
      <c r="I10" s="177" t="n">
        <v>167.6</v>
      </c>
      <c r="J10" s="177" t="n">
        <v>39</v>
      </c>
      <c r="K10" s="178">
        <f>IFERROR((H10-J10)/J10,"")</f>
      </c>
      <c r="L10" s="177" t="n"/>
      <c r="M10" s="179" t="n"/>
      <c r="N10" s="180" t="n">
        <v>200</v>
      </c>
      <c r="O10" s="179" t="n"/>
      <c r="P10" s="181" t="s">
        <v>891</v>
      </c>
      <c r="Q10" s="181" t="s">
        <v>899</v>
      </c>
    </row>
    <row r="11" ht="15" customHeight="1">
      <c r="A11" s="160" t="s">
        <v>129</v>
      </c>
      <c r="B11" s="160" t="s">
        <v>130</v>
      </c>
      <c r="C11" s="160" t="n">
        <v>2</v>
      </c>
      <c r="D11" s="160" t="s">
        <v>70</v>
      </c>
      <c r="E11" s="161" t="n">
        <v>2</v>
      </c>
      <c r="F11" s="161" t="n">
        <v>2</v>
      </c>
      <c r="G11" s="161" t="n">
        <v>61.4</v>
      </c>
      <c r="H11" s="161" t="n">
        <v>121.5</v>
      </c>
      <c r="I11" s="161" t="n">
        <v>232.4</v>
      </c>
      <c r="J11" s="161" t="n">
        <v>174</v>
      </c>
      <c r="K11" s="182">
        <f>IFERROR((H11-J11)/J11,"")</f>
      </c>
      <c r="L11" s="161" t="n"/>
      <c r="M11" s="183" t="n"/>
      <c r="N11" s="184" t="n">
        <v>400</v>
      </c>
      <c r="O11" s="183" t="n"/>
      <c r="P11" s="165" t="s">
        <v>891</v>
      </c>
      <c r="Q11" s="165" t="s">
        <v>900</v>
      </c>
    </row>
    <row r="12" ht="15" customHeight="1">
      <c r="A12" s="176" t="s">
        <v>133</v>
      </c>
      <c r="B12" s="176" t="s">
        <v>134</v>
      </c>
      <c r="C12" s="176" t="n">
        <v>2</v>
      </c>
      <c r="D12" s="176" t="s">
        <v>68</v>
      </c>
      <c r="E12" s="177" t="n">
        <v>1</v>
      </c>
      <c r="F12" s="177" t="n">
        <v>1</v>
      </c>
      <c r="G12" s="177" t="n">
        <v>47.8</v>
      </c>
      <c r="H12" s="177" t="n">
        <v>93.5</v>
      </c>
      <c r="I12" s="177" t="n">
        <v>179.6</v>
      </c>
      <c r="J12" s="177" t="n">
        <v>39</v>
      </c>
      <c r="K12" s="178">
        <f>IFERROR((H12-J12)/J12,"")</f>
      </c>
      <c r="L12" s="177" t="n"/>
      <c r="M12" s="179" t="n"/>
      <c r="N12" s="180" t="n">
        <v>200</v>
      </c>
      <c r="O12" s="179" t="n"/>
      <c r="P12" s="181" t="s">
        <v>891</v>
      </c>
      <c r="Q12" s="181" t="s">
        <v>901</v>
      </c>
    </row>
    <row r="13" ht="15" customHeight="1">
      <c r="A13" s="145" t="s">
        <v>138</v>
      </c>
      <c r="B13" s="145" t="s">
        <v>139</v>
      </c>
      <c r="C13" s="145" t="n">
        <v>2</v>
      </c>
      <c r="D13" s="145" t="s">
        <v>68</v>
      </c>
      <c r="E13" s="150" t="n">
        <v>1</v>
      </c>
      <c r="F13" s="150" t="n">
        <v>1</v>
      </c>
      <c r="G13" s="150" t="n">
        <v>44.6</v>
      </c>
      <c r="H13" s="150" t="n">
        <v>87.09999999999999</v>
      </c>
      <c r="I13" s="150" t="n">
        <v>167.6</v>
      </c>
      <c r="J13" s="150" t="n">
        <v>39</v>
      </c>
      <c r="K13" s="173">
        <f>IFERROR((H13-J13)/J13,"")</f>
      </c>
      <c r="L13" s="150" t="n"/>
      <c r="M13" s="174" t="n"/>
      <c r="N13" s="175" t="n">
        <v>200</v>
      </c>
      <c r="O13" s="174" t="n"/>
      <c r="P13" s="147" t="s">
        <v>891</v>
      </c>
      <c r="Q13" s="147" t="s">
        <v>899</v>
      </c>
    </row>
    <row r="14" ht="15" customHeight="1">
      <c r="A14" s="176" t="s">
        <v>142</v>
      </c>
      <c r="B14" s="176" t="s">
        <v>143</v>
      </c>
      <c r="C14" s="176" t="n">
        <v>3</v>
      </c>
      <c r="D14" s="176" t="s">
        <v>70</v>
      </c>
      <c r="E14" s="177" t="n">
        <v>2</v>
      </c>
      <c r="F14" s="177" t="n">
        <v>2</v>
      </c>
      <c r="G14" s="177" t="n">
        <v>47.8</v>
      </c>
      <c r="H14" s="177" t="n">
        <v>93.5</v>
      </c>
      <c r="I14" s="177" t="n">
        <v>179.6</v>
      </c>
      <c r="J14" s="177" t="n">
        <v>174</v>
      </c>
      <c r="K14" s="178">
        <f>IFERROR((H14-J14)/J14,"")</f>
      </c>
      <c r="L14" s="177" t="n"/>
      <c r="M14" s="179" t="n"/>
      <c r="N14" s="180" t="n">
        <v>400</v>
      </c>
      <c r="O14" s="179" t="n"/>
      <c r="P14" s="181" t="s">
        <v>891</v>
      </c>
      <c r="Q14" s="181" t="s">
        <v>902</v>
      </c>
    </row>
    <row r="15" ht="15" customHeight="1">
      <c r="A15" s="156" t="s">
        <v>146</v>
      </c>
      <c r="B15" s="156" t="s">
        <v>147</v>
      </c>
      <c r="C15" s="156" t="n">
        <v>3</v>
      </c>
      <c r="D15" s="156" t="s">
        <v>66</v>
      </c>
      <c r="E15" s="157" t="n">
        <v>0.5</v>
      </c>
      <c r="F15" s="157" t="n">
        <v>0.5</v>
      </c>
      <c r="G15" s="157" t="n">
        <v>43.1</v>
      </c>
      <c r="H15" s="157" t="n">
        <v>84.09999999999999</v>
      </c>
      <c r="I15" s="157" t="n">
        <v>161.6</v>
      </c>
      <c r="J15" s="157" t="n">
        <v>10</v>
      </c>
      <c r="K15" s="185">
        <f>IFERROR((H15-J15)/J15,"")</f>
      </c>
      <c r="L15" s="157" t="n"/>
      <c r="M15" s="186" t="n"/>
      <c r="N15" s="187" t="n">
        <v>100</v>
      </c>
      <c r="O15" s="186" t="n"/>
      <c r="P15" s="169" t="s">
        <v>891</v>
      </c>
      <c r="Q15" s="169" t="s">
        <v>903</v>
      </c>
    </row>
    <row r="16" ht="15" customHeight="1">
      <c r="A16" s="176" t="s">
        <v>150</v>
      </c>
      <c r="B16" s="176" t="s">
        <v>151</v>
      </c>
      <c r="C16" s="176" t="n">
        <v>3</v>
      </c>
      <c r="D16" s="176" t="s">
        <v>66</v>
      </c>
      <c r="E16" s="177" t="n">
        <v>0.5</v>
      </c>
      <c r="F16" s="177" t="n">
        <v>0.5</v>
      </c>
      <c r="G16" s="177" t="n">
        <v>38.9</v>
      </c>
      <c r="H16" s="177" t="n">
        <v>75.7</v>
      </c>
      <c r="I16" s="177" t="n">
        <v>146</v>
      </c>
      <c r="J16" s="177" t="n">
        <v>10</v>
      </c>
      <c r="K16" s="178">
        <f>IFERROR((H16-J16)/J16,"")</f>
      </c>
      <c r="L16" s="177" t="n"/>
      <c r="M16" s="179" t="n"/>
      <c r="N16" s="180" t="n">
        <v>100</v>
      </c>
      <c r="O16" s="179" t="n"/>
      <c r="P16" s="181" t="s">
        <v>891</v>
      </c>
      <c r="Q16" s="181" t="s">
        <v>904</v>
      </c>
    </row>
    <row r="17" ht="15" customHeight="1">
      <c r="A17" s="160" t="s">
        <v>154</v>
      </c>
      <c r="B17" s="160" t="s">
        <v>155</v>
      </c>
      <c r="C17" s="160" t="n">
        <v>3</v>
      </c>
      <c r="D17" s="160" t="s">
        <v>70</v>
      </c>
      <c r="E17" s="161" t="n">
        <v>2</v>
      </c>
      <c r="F17" s="161" t="n">
        <v>2</v>
      </c>
      <c r="G17" s="161" t="n">
        <v>64.40000000000001</v>
      </c>
      <c r="H17" s="161" t="n">
        <v>129.5</v>
      </c>
      <c r="I17" s="161" t="n">
        <v>247.4</v>
      </c>
      <c r="J17" s="161" t="n">
        <v>174</v>
      </c>
      <c r="K17" s="182">
        <f>IFERROR((H17-J17)/J17,"")</f>
      </c>
      <c r="L17" s="161" t="n"/>
      <c r="M17" s="183" t="n"/>
      <c r="N17" s="184" t="n">
        <v>400</v>
      </c>
      <c r="O17" s="183" t="n"/>
      <c r="P17" s="165" t="s">
        <v>891</v>
      </c>
      <c r="Q17" s="165" t="s">
        <v>905</v>
      </c>
    </row>
    <row r="18" ht="15" customHeight="1">
      <c r="A18" s="176" t="s">
        <v>158</v>
      </c>
      <c r="B18" s="176" t="s">
        <v>159</v>
      </c>
      <c r="C18" s="176" t="n">
        <v>3</v>
      </c>
      <c r="D18" s="176" t="s">
        <v>66</v>
      </c>
      <c r="E18" s="177" t="n">
        <v>0.5</v>
      </c>
      <c r="F18" s="177" t="n">
        <v>0.5</v>
      </c>
      <c r="G18" s="177" t="n">
        <v>52.2</v>
      </c>
      <c r="H18" s="177" t="n">
        <v>103.1</v>
      </c>
      <c r="I18" s="177" t="n">
        <v>198.4</v>
      </c>
      <c r="J18" s="177" t="n">
        <v>10</v>
      </c>
      <c r="K18" s="178">
        <f>IFERROR((H18-J18)/J18,"")</f>
      </c>
      <c r="L18" s="177" t="n"/>
      <c r="M18" s="179" t="n"/>
      <c r="N18" s="180" t="n">
        <v>100</v>
      </c>
      <c r="O18" s="179" t="n"/>
      <c r="P18" s="181" t="s">
        <v>891</v>
      </c>
      <c r="Q18" s="181" t="s">
        <v>906</v>
      </c>
    </row>
    <row r="19" ht="15" customHeight="1">
      <c r="A19" s="156" t="s">
        <v>163</v>
      </c>
      <c r="B19" s="156" t="s">
        <v>164</v>
      </c>
      <c r="C19" s="156" t="n">
        <v>3</v>
      </c>
      <c r="D19" s="156" t="s">
        <v>66</v>
      </c>
      <c r="E19" s="157" t="n">
        <v>0.5</v>
      </c>
      <c r="F19" s="157" t="n">
        <v>0.5</v>
      </c>
      <c r="G19" s="157" t="n">
        <v>52.2</v>
      </c>
      <c r="H19" s="157" t="n">
        <v>103.1</v>
      </c>
      <c r="I19" s="157" t="n">
        <v>198.4</v>
      </c>
      <c r="J19" s="157" t="n">
        <v>10</v>
      </c>
      <c r="K19" s="185">
        <f>IFERROR((H19-J19)/J19,"")</f>
      </c>
      <c r="L19" s="157" t="n"/>
      <c r="M19" s="186" t="n"/>
      <c r="N19" s="187" t="n">
        <v>100</v>
      </c>
      <c r="O19" s="186" t="n"/>
      <c r="P19" s="169" t="s">
        <v>891</v>
      </c>
      <c r="Q19" s="169" t="s">
        <v>906</v>
      </c>
    </row>
    <row r="20" ht="15" customHeight="1">
      <c r="A20" s="176" t="s">
        <v>167</v>
      </c>
      <c r="B20" s="176" t="s">
        <v>168</v>
      </c>
      <c r="C20" s="176" t="n">
        <v>3</v>
      </c>
      <c r="D20" s="176" t="s">
        <v>66</v>
      </c>
      <c r="E20" s="177" t="n">
        <v>0.5</v>
      </c>
      <c r="F20" s="177" t="n">
        <v>0.5</v>
      </c>
      <c r="G20" s="177" t="n">
        <v>52.2</v>
      </c>
      <c r="H20" s="177" t="n">
        <v>103.1</v>
      </c>
      <c r="I20" s="177" t="n">
        <v>198.4</v>
      </c>
      <c r="J20" s="177" t="n">
        <v>10</v>
      </c>
      <c r="K20" s="178">
        <f>IFERROR((H20-J20)/J20,"")</f>
      </c>
      <c r="L20" s="177" t="n"/>
      <c r="M20" s="179" t="n"/>
      <c r="N20" s="180" t="n">
        <v>100</v>
      </c>
      <c r="O20" s="179" t="n"/>
      <c r="P20" s="181" t="s">
        <v>891</v>
      </c>
      <c r="Q20" s="181" t="s">
        <v>906</v>
      </c>
    </row>
    <row r="21" ht="15" customHeight="1">
      <c r="A21" s="156" t="s">
        <v>171</v>
      </c>
      <c r="B21" s="156" t="s">
        <v>172</v>
      </c>
      <c r="C21" s="156" t="n">
        <v>3</v>
      </c>
      <c r="D21" s="156" t="s">
        <v>66</v>
      </c>
      <c r="E21" s="157" t="n">
        <v>0.5</v>
      </c>
      <c r="F21" s="157" t="n">
        <v>0.5</v>
      </c>
      <c r="G21" s="157" t="n">
        <v>49.8</v>
      </c>
      <c r="H21" s="157" t="n">
        <v>98.59999999999999</v>
      </c>
      <c r="I21" s="157" t="n">
        <v>190</v>
      </c>
      <c r="J21" s="157" t="n">
        <v>10</v>
      </c>
      <c r="K21" s="185">
        <f>IFERROR((H21-J21)/J21,"")</f>
      </c>
      <c r="L21" s="157" t="n"/>
      <c r="M21" s="186" t="n"/>
      <c r="N21" s="187" t="n">
        <v>100</v>
      </c>
      <c r="O21" s="186" t="n"/>
      <c r="P21" s="169" t="s">
        <v>891</v>
      </c>
      <c r="Q21" s="169" t="s">
        <v>907</v>
      </c>
    </row>
    <row r="22" ht="15" customHeight="1">
      <c r="A22" s="176" t="s">
        <v>175</v>
      </c>
      <c r="B22" s="176" t="s">
        <v>176</v>
      </c>
      <c r="C22" s="176" t="n">
        <v>3</v>
      </c>
      <c r="D22" s="176" t="s">
        <v>66</v>
      </c>
      <c r="E22" s="177" t="n">
        <v>0.5</v>
      </c>
      <c r="F22" s="177" t="n">
        <v>0.5</v>
      </c>
      <c r="G22" s="177" t="n">
        <v>43.2</v>
      </c>
      <c r="H22" s="177" t="n">
        <v>85.40000000000001</v>
      </c>
      <c r="I22" s="177" t="n">
        <v>165.6</v>
      </c>
      <c r="J22" s="177" t="n">
        <v>10</v>
      </c>
      <c r="K22" s="178">
        <f>IFERROR((H22-J22)/J22,"")</f>
      </c>
      <c r="L22" s="177" t="n"/>
      <c r="M22" s="179" t="n"/>
      <c r="N22" s="180" t="n">
        <v>100</v>
      </c>
      <c r="O22" s="179" t="n"/>
      <c r="P22" s="181" t="s">
        <v>891</v>
      </c>
      <c r="Q22" s="181" t="s">
        <v>908</v>
      </c>
    </row>
    <row r="23" ht="15" customHeight="1">
      <c r="A23" s="160" t="s">
        <v>179</v>
      </c>
      <c r="B23" s="160" t="s">
        <v>180</v>
      </c>
      <c r="C23" s="160" t="n">
        <v>4</v>
      </c>
      <c r="D23" s="160" t="s">
        <v>70</v>
      </c>
      <c r="E23" s="161" t="n">
        <v>2</v>
      </c>
      <c r="F23" s="161" t="n">
        <v>2</v>
      </c>
      <c r="G23" s="161" t="n">
        <v>51.8</v>
      </c>
      <c r="H23" s="161" t="n">
        <v>101.5</v>
      </c>
      <c r="I23" s="161" t="n">
        <v>194.6</v>
      </c>
      <c r="J23" s="161" t="n">
        <v>174</v>
      </c>
      <c r="K23" s="182">
        <f>IFERROR((H23-J23)/J23,"")</f>
      </c>
      <c r="L23" s="161" t="n"/>
      <c r="M23" s="183" t="n"/>
      <c r="N23" s="184" t="n">
        <v>400</v>
      </c>
      <c r="O23" s="183" t="n"/>
      <c r="P23" s="165" t="s">
        <v>891</v>
      </c>
      <c r="Q23" s="165" t="s">
        <v>909</v>
      </c>
    </row>
    <row r="24" ht="15" customHeight="1">
      <c r="A24" s="176" t="s">
        <v>184</v>
      </c>
      <c r="B24" s="176" t="s">
        <v>185</v>
      </c>
      <c r="C24" s="176" t="n">
        <v>4</v>
      </c>
      <c r="D24" s="176" t="s">
        <v>68</v>
      </c>
      <c r="E24" s="177" t="n">
        <v>1</v>
      </c>
      <c r="F24" s="177" t="n">
        <v>1</v>
      </c>
      <c r="G24" s="177" t="n">
        <v>42.2</v>
      </c>
      <c r="H24" s="177" t="n">
        <v>82.59999999999999</v>
      </c>
      <c r="I24" s="177" t="n">
        <v>159.2</v>
      </c>
      <c r="J24" s="177" t="n">
        <v>39</v>
      </c>
      <c r="K24" s="178">
        <f>IFERROR((H24-J24)/J24,"")</f>
      </c>
      <c r="L24" s="177" t="n"/>
      <c r="M24" s="179" t="n"/>
      <c r="N24" s="180" t="n">
        <v>200</v>
      </c>
      <c r="O24" s="179" t="n"/>
      <c r="P24" s="181" t="s">
        <v>891</v>
      </c>
      <c r="Q24" s="181" t="s">
        <v>910</v>
      </c>
    </row>
    <row r="25" ht="15" customHeight="1">
      <c r="A25" s="145" t="s">
        <v>188</v>
      </c>
      <c r="B25" s="145" t="s">
        <v>189</v>
      </c>
      <c r="C25" s="145" t="n">
        <v>4</v>
      </c>
      <c r="D25" s="145" t="s">
        <v>68</v>
      </c>
      <c r="E25" s="150" t="n">
        <v>1</v>
      </c>
      <c r="F25" s="150" t="n">
        <v>1</v>
      </c>
      <c r="G25" s="150" t="n">
        <v>42.2</v>
      </c>
      <c r="H25" s="150" t="n">
        <v>82.59999999999999</v>
      </c>
      <c r="I25" s="150" t="n">
        <v>159.2</v>
      </c>
      <c r="J25" s="150" t="n">
        <v>39</v>
      </c>
      <c r="K25" s="173">
        <f>IFERROR((H25-J25)/J25,"")</f>
      </c>
      <c r="L25" s="150" t="n"/>
      <c r="M25" s="174" t="n"/>
      <c r="N25" s="175" t="n">
        <v>200</v>
      </c>
      <c r="O25" s="174" t="n"/>
      <c r="P25" s="147" t="s">
        <v>891</v>
      </c>
      <c r="Q25" s="147" t="s">
        <v>910</v>
      </c>
    </row>
    <row r="26" ht="15" customHeight="1">
      <c r="A26" s="176" t="s">
        <v>192</v>
      </c>
      <c r="B26" s="176" t="s">
        <v>193</v>
      </c>
      <c r="C26" s="176" t="n">
        <v>4</v>
      </c>
      <c r="D26" s="176" t="s">
        <v>66</v>
      </c>
      <c r="E26" s="177" t="n">
        <v>0.5</v>
      </c>
      <c r="F26" s="177" t="n">
        <v>0.5</v>
      </c>
      <c r="G26" s="177" t="n">
        <v>34.1</v>
      </c>
      <c r="H26" s="177" t="n">
        <v>65.8</v>
      </c>
      <c r="I26" s="177" t="n">
        <v>127.1</v>
      </c>
      <c r="J26" s="177" t="n">
        <v>10</v>
      </c>
      <c r="K26" s="178">
        <f>IFERROR((H26-J26)/J26,"")</f>
      </c>
      <c r="L26" s="177" t="n"/>
      <c r="M26" s="179" t="n"/>
      <c r="N26" s="180" t="n">
        <v>100</v>
      </c>
      <c r="O26" s="179" t="n"/>
      <c r="P26" s="181" t="s">
        <v>891</v>
      </c>
      <c r="Q26" s="181" t="s">
        <v>911</v>
      </c>
    </row>
    <row r="27" ht="15" customHeight="1">
      <c r="A27" s="156" t="s">
        <v>196</v>
      </c>
      <c r="B27" s="156" t="s">
        <v>197</v>
      </c>
      <c r="C27" s="156" t="n">
        <v>4</v>
      </c>
      <c r="D27" s="156" t="s">
        <v>66</v>
      </c>
      <c r="E27" s="157" t="n">
        <v>0.5</v>
      </c>
      <c r="F27" s="157" t="n">
        <v>0.5</v>
      </c>
      <c r="G27" s="157" t="n">
        <v>34.1</v>
      </c>
      <c r="H27" s="157" t="n">
        <v>65.8</v>
      </c>
      <c r="I27" s="157" t="n">
        <v>127.1</v>
      </c>
      <c r="J27" s="157" t="n">
        <v>10</v>
      </c>
      <c r="K27" s="185">
        <f>IFERROR((H27-J27)/J27,"")</f>
      </c>
      <c r="L27" s="157" t="n"/>
      <c r="M27" s="186" t="n"/>
      <c r="N27" s="187" t="n">
        <v>100</v>
      </c>
      <c r="O27" s="186" t="n"/>
      <c r="P27" s="169" t="s">
        <v>891</v>
      </c>
      <c r="Q27" s="169" t="s">
        <v>911</v>
      </c>
    </row>
    <row r="28" ht="15" customHeight="1">
      <c r="A28" s="176" t="s">
        <v>200</v>
      </c>
      <c r="B28" s="176" t="s">
        <v>201</v>
      </c>
      <c r="C28" s="176" t="n">
        <v>4</v>
      </c>
      <c r="D28" s="176" t="s">
        <v>68</v>
      </c>
      <c r="E28" s="188" t="n">
        <v>1</v>
      </c>
      <c r="F28" s="188" t="n">
        <v>1</v>
      </c>
      <c r="G28" s="177" t="n">
        <v>44.6</v>
      </c>
      <c r="H28" s="177" t="n">
        <v>87.09999999999999</v>
      </c>
      <c r="I28" s="177" t="n">
        <v>167.6</v>
      </c>
      <c r="J28" s="177" t="n">
        <v>39</v>
      </c>
      <c r="K28" s="178">
        <f>IFERROR((H28-J28)/J28,"")</f>
      </c>
      <c r="L28" s="177" t="n"/>
      <c r="M28" s="179" t="n"/>
      <c r="N28" s="180" t="n">
        <v>200</v>
      </c>
      <c r="O28" s="181" t="n"/>
      <c r="P28" s="181" t="s">
        <v>891</v>
      </c>
      <c r="Q28" s="181" t="s">
        <v>899</v>
      </c>
    </row>
    <row r="29" ht="15" customHeight="1">
      <c r="A29" s="156" t="s">
        <v>205</v>
      </c>
      <c r="B29" s="156" t="s">
        <v>206</v>
      </c>
      <c r="C29" s="156" t="n">
        <v>4</v>
      </c>
      <c r="D29" s="156" t="s">
        <v>66</v>
      </c>
      <c r="E29" s="169" t="n">
        <v>0.5</v>
      </c>
      <c r="F29" s="169" t="n">
        <v>0.5</v>
      </c>
      <c r="G29" s="157" t="n">
        <v>34.1</v>
      </c>
      <c r="H29" s="157" t="n">
        <v>65.8</v>
      </c>
      <c r="I29" s="157" t="n">
        <v>127.1</v>
      </c>
      <c r="J29" s="157" t="n">
        <v>10</v>
      </c>
      <c r="K29" s="185">
        <f>IFERROR((H29-J29)/J29,"")</f>
      </c>
      <c r="L29" s="157" t="n"/>
      <c r="M29" s="169" t="n"/>
      <c r="N29" s="187" t="n">
        <v>100</v>
      </c>
      <c r="O29" s="169" t="n"/>
      <c r="P29" s="169" t="s">
        <v>891</v>
      </c>
      <c r="Q29" s="169" t="s">
        <v>911</v>
      </c>
    </row>
    <row r="30" ht="15" customHeight="1">
      <c r="A30" s="176" t="s">
        <v>209</v>
      </c>
      <c r="B30" s="176" t="s">
        <v>210</v>
      </c>
      <c r="C30" s="176" t="n">
        <v>4</v>
      </c>
      <c r="D30" s="176" t="s">
        <v>68</v>
      </c>
      <c r="E30" s="181" t="n">
        <v>1</v>
      </c>
      <c r="F30" s="181" t="n">
        <v>1</v>
      </c>
      <c r="G30" s="177" t="n">
        <v>42.2</v>
      </c>
      <c r="H30" s="177" t="n">
        <v>82.59999999999999</v>
      </c>
      <c r="I30" s="177" t="n">
        <v>159.2</v>
      </c>
      <c r="J30" s="177" t="n">
        <v>39</v>
      </c>
      <c r="K30" s="178">
        <f>IFERROR((H30-J30)/J30,"")</f>
      </c>
      <c r="L30" s="177" t="n"/>
      <c r="M30" s="181" t="n"/>
      <c r="N30" s="180" t="n">
        <v>200</v>
      </c>
      <c r="O30" s="181" t="n"/>
      <c r="P30" s="181" t="s">
        <v>891</v>
      </c>
      <c r="Q30" s="181" t="s">
        <v>910</v>
      </c>
    </row>
    <row r="31" ht="15" customHeight="1">
      <c r="A31" s="156" t="s">
        <v>213</v>
      </c>
      <c r="B31" s="156" t="s">
        <v>214</v>
      </c>
      <c r="C31" s="156" t="n">
        <v>5</v>
      </c>
      <c r="D31" s="156" t="s">
        <v>66</v>
      </c>
      <c r="E31" s="169" t="n">
        <v>0.5</v>
      </c>
      <c r="F31" s="169" t="n">
        <v>0.5</v>
      </c>
      <c r="G31" s="157" t="n">
        <v>34.1</v>
      </c>
      <c r="H31" s="157" t="n">
        <v>65.8</v>
      </c>
      <c r="I31" s="157" t="n">
        <v>127.1</v>
      </c>
      <c r="J31" s="157" t="n">
        <v>10</v>
      </c>
      <c r="K31" s="185">
        <f>IFERROR((H31-J31)/J31,"")</f>
      </c>
      <c r="L31" s="157" t="n"/>
      <c r="M31" s="169" t="n"/>
      <c r="N31" s="187" t="n">
        <v>100</v>
      </c>
      <c r="O31" s="169" t="n"/>
      <c r="P31" s="169" t="s">
        <v>891</v>
      </c>
      <c r="Q31" s="169" t="s">
        <v>911</v>
      </c>
    </row>
    <row r="32" ht="15" customHeight="1">
      <c r="A32" s="176" t="s">
        <v>216</v>
      </c>
      <c r="B32" s="176" t="s">
        <v>217</v>
      </c>
      <c r="C32" s="176" t="n">
        <v>5</v>
      </c>
      <c r="D32" s="176" t="s">
        <v>66</v>
      </c>
      <c r="E32" s="181" t="n">
        <v>0.5</v>
      </c>
      <c r="F32" s="181" t="n">
        <v>0.5</v>
      </c>
      <c r="G32" s="177" t="n">
        <v>34.1</v>
      </c>
      <c r="H32" s="177" t="n">
        <v>65.8</v>
      </c>
      <c r="I32" s="177" t="n">
        <v>127.1</v>
      </c>
      <c r="J32" s="177" t="n">
        <v>10</v>
      </c>
      <c r="K32" s="178">
        <f>IFERROR((H32-J32)/J32,"")</f>
      </c>
      <c r="L32" s="177" t="n"/>
      <c r="M32" s="181" t="n"/>
      <c r="N32" s="180" t="n">
        <v>100</v>
      </c>
      <c r="O32" s="181" t="n"/>
      <c r="P32" s="181" t="s">
        <v>891</v>
      </c>
      <c r="Q32" s="181" t="s">
        <v>911</v>
      </c>
    </row>
    <row r="33" ht="15" customHeight="1">
      <c r="A33" s="160" t="s">
        <v>219</v>
      </c>
      <c r="B33" s="160" t="s">
        <v>220</v>
      </c>
      <c r="C33" s="160" t="n">
        <v>5</v>
      </c>
      <c r="D33" s="160" t="s">
        <v>70</v>
      </c>
      <c r="E33" s="165" t="n">
        <v>2</v>
      </c>
      <c r="F33" s="165" t="n">
        <v>2</v>
      </c>
      <c r="G33" s="161" t="n">
        <v>61.4</v>
      </c>
      <c r="H33" s="161" t="n">
        <v>121.5</v>
      </c>
      <c r="I33" s="161" t="n">
        <v>232.4</v>
      </c>
      <c r="J33" s="161" t="n">
        <v>174</v>
      </c>
      <c r="K33" s="182">
        <f>IFERROR((H33-J33)/J33,"")</f>
      </c>
      <c r="L33" s="161" t="n"/>
      <c r="M33" s="165" t="n"/>
      <c r="N33" s="184" t="n">
        <v>400</v>
      </c>
      <c r="O33" s="165" t="n"/>
      <c r="P33" s="165" t="s">
        <v>891</v>
      </c>
      <c r="Q33" s="165" t="s">
        <v>900</v>
      </c>
    </row>
    <row r="34" ht="15" customHeight="1">
      <c r="A34" s="176" t="s">
        <v>223</v>
      </c>
      <c r="B34" s="176" t="s">
        <v>224</v>
      </c>
      <c r="C34" s="176" t="n">
        <v>5</v>
      </c>
      <c r="D34" s="176" t="s">
        <v>66</v>
      </c>
      <c r="E34" s="181" t="n">
        <v>0.5</v>
      </c>
      <c r="F34" s="181" t="n">
        <v>0.5</v>
      </c>
      <c r="G34" s="177" t="n">
        <v>12</v>
      </c>
      <c r="H34" s="177" t="n">
        <v>23.1</v>
      </c>
      <c r="I34" s="177" t="n">
        <v>44.1</v>
      </c>
      <c r="J34" s="177" t="n">
        <v>10</v>
      </c>
      <c r="K34" s="178">
        <f>IFERROR((H34-J34)/J34,"")</f>
      </c>
      <c r="L34" s="177" t="n"/>
      <c r="M34" s="181" t="n"/>
      <c r="N34" s="180" t="n">
        <v>100</v>
      </c>
      <c r="O34" s="181" t="n"/>
      <c r="P34" s="181" t="s">
        <v>891</v>
      </c>
      <c r="Q34" s="181" t="s">
        <v>912</v>
      </c>
    </row>
    <row r="35" ht="15" customHeight="1">
      <c r="A35" s="156" t="s">
        <v>228</v>
      </c>
      <c r="B35" s="156" t="s">
        <v>229</v>
      </c>
      <c r="C35" s="156" t="n">
        <v>5</v>
      </c>
      <c r="D35" s="156" t="s">
        <v>66</v>
      </c>
      <c r="E35" s="169" t="n">
        <v>0.5</v>
      </c>
      <c r="F35" s="169" t="n">
        <v>0.5</v>
      </c>
      <c r="G35" s="157" t="n">
        <v>13.5</v>
      </c>
      <c r="H35" s="157" t="n">
        <v>27</v>
      </c>
      <c r="I35" s="157" t="n">
        <v>52.2</v>
      </c>
      <c r="J35" s="157" t="n">
        <v>10</v>
      </c>
      <c r="K35" s="185">
        <f>IFERROR((H35-J35)/J35,"")</f>
      </c>
      <c r="L35" s="157" t="n"/>
      <c r="M35" s="169" t="n"/>
      <c r="N35" s="187" t="n">
        <v>100</v>
      </c>
      <c r="O35" s="169" t="n"/>
      <c r="P35" s="169" t="s">
        <v>891</v>
      </c>
      <c r="Q35" s="169" t="s">
        <v>913</v>
      </c>
    </row>
    <row r="36" ht="15" customHeight="1">
      <c r="A36" s="176" t="s">
        <v>232</v>
      </c>
      <c r="B36" s="176" t="s">
        <v>233</v>
      </c>
      <c r="C36" s="176" t="n">
        <v>5</v>
      </c>
      <c r="D36" s="176" t="s">
        <v>66</v>
      </c>
      <c r="E36" s="181" t="n">
        <v>0.5</v>
      </c>
      <c r="F36" s="181" t="n">
        <v>0.5</v>
      </c>
      <c r="G36" s="177" t="n">
        <v>9.6</v>
      </c>
      <c r="H36" s="177" t="n">
        <v>18.6</v>
      </c>
      <c r="I36" s="177" t="n">
        <v>35.7</v>
      </c>
      <c r="J36" s="177" t="n">
        <v>10</v>
      </c>
      <c r="K36" s="178">
        <f>IFERROR((H36-J36)/J36,"")</f>
      </c>
      <c r="L36" s="177" t="n"/>
      <c r="M36" s="181" t="n"/>
      <c r="N36" s="180" t="n">
        <v>100</v>
      </c>
      <c r="O36" s="181" t="n"/>
      <c r="P36" s="181" t="s">
        <v>891</v>
      </c>
      <c r="Q36" s="181" t="s">
        <v>914</v>
      </c>
    </row>
    <row r="37" ht="15" customHeight="1">
      <c r="A37" s="156" t="s">
        <v>236</v>
      </c>
      <c r="B37" s="156" t="s">
        <v>237</v>
      </c>
      <c r="C37" s="156" t="n">
        <v>5</v>
      </c>
      <c r="D37" s="156" t="s">
        <v>66</v>
      </c>
      <c r="E37" s="169" t="n">
        <v>0.5</v>
      </c>
      <c r="F37" s="169" t="n">
        <v>0.5</v>
      </c>
      <c r="G37" s="157" t="n">
        <v>9.6</v>
      </c>
      <c r="H37" s="157" t="n">
        <v>18.6</v>
      </c>
      <c r="I37" s="157" t="n">
        <v>35.7</v>
      </c>
      <c r="J37" s="157" t="n">
        <v>10</v>
      </c>
      <c r="K37" s="185">
        <f>IFERROR((H37-J37)/J37,"")</f>
      </c>
      <c r="L37" s="157" t="n"/>
      <c r="M37" s="169" t="n"/>
      <c r="N37" s="187" t="n">
        <v>100</v>
      </c>
      <c r="O37" s="169" t="n"/>
      <c r="P37" s="169" t="s">
        <v>891</v>
      </c>
      <c r="Q37" s="169" t="s">
        <v>914</v>
      </c>
    </row>
    <row r="38" ht="15" customHeight="1">
      <c r="A38" s="176" t="s">
        <v>239</v>
      </c>
      <c r="B38" s="176" t="s">
        <v>240</v>
      </c>
      <c r="C38" s="176" t="n">
        <v>5</v>
      </c>
      <c r="D38" s="176" t="s">
        <v>66</v>
      </c>
      <c r="E38" s="181" t="n">
        <v>0.5</v>
      </c>
      <c r="F38" s="181" t="n">
        <v>0.5</v>
      </c>
      <c r="G38" s="177" t="n">
        <v>9.6</v>
      </c>
      <c r="H38" s="177" t="n">
        <v>18.6</v>
      </c>
      <c r="I38" s="177" t="n">
        <v>35.7</v>
      </c>
      <c r="J38" s="177" t="n">
        <v>10</v>
      </c>
      <c r="K38" s="178">
        <f>IFERROR((H38-J38)/J38,"")</f>
      </c>
      <c r="L38" s="177" t="n"/>
      <c r="M38" s="181" t="n"/>
      <c r="N38" s="180" t="n">
        <v>100</v>
      </c>
      <c r="O38" s="181" t="n"/>
      <c r="P38" s="181" t="s">
        <v>891</v>
      </c>
      <c r="Q38" s="181" t="s">
        <v>914</v>
      </c>
    </row>
    <row r="39" ht="15" customHeight="1">
      <c r="A39" s="156" t="s">
        <v>242</v>
      </c>
      <c r="B39" s="156" t="s">
        <v>243</v>
      </c>
      <c r="C39" s="156" t="n">
        <v>5</v>
      </c>
      <c r="D39" s="156" t="s">
        <v>66</v>
      </c>
      <c r="E39" s="169" t="n">
        <v>0.5</v>
      </c>
      <c r="F39" s="169" t="n">
        <v>0.5</v>
      </c>
      <c r="G39" s="157" t="n">
        <v>12</v>
      </c>
      <c r="H39" s="157" t="n">
        <v>23.1</v>
      </c>
      <c r="I39" s="157" t="n">
        <v>44.1</v>
      </c>
      <c r="J39" s="157" t="n">
        <v>10</v>
      </c>
      <c r="K39" s="185">
        <f>IFERROR((H39-J39)/J39,"")</f>
      </c>
      <c r="L39" s="157" t="n"/>
      <c r="M39" s="169" t="n"/>
      <c r="N39" s="187" t="n">
        <v>100</v>
      </c>
      <c r="O39" s="169" t="n"/>
      <c r="P39" s="169" t="s">
        <v>891</v>
      </c>
      <c r="Q39" s="169" t="s">
        <v>912</v>
      </c>
    </row>
    <row r="40" ht="15" customHeight="1">
      <c r="A40" s="176" t="s">
        <v>246</v>
      </c>
      <c r="B40" s="176" t="s">
        <v>247</v>
      </c>
      <c r="C40" s="176" t="n">
        <v>5</v>
      </c>
      <c r="D40" s="176" t="s">
        <v>66</v>
      </c>
      <c r="E40" s="181" t="n">
        <v>0.5</v>
      </c>
      <c r="F40" s="181" t="n">
        <v>0.5</v>
      </c>
      <c r="G40" s="177" t="n">
        <v>13.5</v>
      </c>
      <c r="H40" s="177" t="n">
        <v>27</v>
      </c>
      <c r="I40" s="177" t="n">
        <v>52.2</v>
      </c>
      <c r="J40" s="177" t="n">
        <v>10</v>
      </c>
      <c r="K40" s="178">
        <f>IFERROR((H40-J40)/J40,"")</f>
      </c>
      <c r="L40" s="177" t="n"/>
      <c r="M40" s="181" t="n"/>
      <c r="N40" s="180" t="n">
        <v>100</v>
      </c>
      <c r="O40" s="181" t="n"/>
      <c r="P40" s="181" t="s">
        <v>891</v>
      </c>
      <c r="Q40" s="181" t="s">
        <v>913</v>
      </c>
    </row>
    <row r="41" ht="15" customHeight="1">
      <c r="A41" s="156" t="s">
        <v>249</v>
      </c>
      <c r="B41" s="156" t="s">
        <v>250</v>
      </c>
      <c r="C41" s="156" t="n">
        <v>6</v>
      </c>
      <c r="D41" s="156" t="s">
        <v>66</v>
      </c>
      <c r="E41" s="169" t="n">
        <v>0.5</v>
      </c>
      <c r="F41" s="169" t="n">
        <v>0.5</v>
      </c>
      <c r="G41" s="157" t="n">
        <v>9.6</v>
      </c>
      <c r="H41" s="157" t="n">
        <v>18.6</v>
      </c>
      <c r="I41" s="157" t="n">
        <v>35.7</v>
      </c>
      <c r="J41" s="157" t="n">
        <v>10</v>
      </c>
      <c r="K41" s="185">
        <f>IFERROR((H41-J41)/J41,"")</f>
      </c>
      <c r="L41" s="157" t="n"/>
      <c r="M41" s="169" t="n"/>
      <c r="N41" s="187" t="n">
        <v>100</v>
      </c>
      <c r="O41" s="169" t="n"/>
      <c r="P41" s="169" t="s">
        <v>891</v>
      </c>
      <c r="Q41" s="169" t="s">
        <v>914</v>
      </c>
    </row>
    <row r="42" ht="15" customHeight="1">
      <c r="A42" s="176" t="s">
        <v>253</v>
      </c>
      <c r="B42" s="176" t="s">
        <v>254</v>
      </c>
      <c r="C42" s="176" t="n">
        <v>6</v>
      </c>
      <c r="D42" s="176" t="s">
        <v>66</v>
      </c>
      <c r="E42" s="181" t="n">
        <v>0.5</v>
      </c>
      <c r="F42" s="181" t="n">
        <v>0.5</v>
      </c>
      <c r="G42" s="177" t="n">
        <v>9.6</v>
      </c>
      <c r="H42" s="177" t="n">
        <v>18.6</v>
      </c>
      <c r="I42" s="177" t="n">
        <v>35.7</v>
      </c>
      <c r="J42" s="177" t="n">
        <v>10</v>
      </c>
      <c r="K42" s="178">
        <f>IFERROR((H42-J42)/J42,"")</f>
      </c>
      <c r="L42" s="177" t="n"/>
      <c r="M42" s="181" t="n"/>
      <c r="N42" s="180" t="n">
        <v>100</v>
      </c>
      <c r="O42" s="181" t="n"/>
      <c r="P42" s="181" t="s">
        <v>891</v>
      </c>
      <c r="Q42" s="181" t="s">
        <v>914</v>
      </c>
    </row>
    <row r="43" ht="15" customHeight="1">
      <c r="A43" s="156" t="s">
        <v>256</v>
      </c>
      <c r="B43" s="156" t="s">
        <v>257</v>
      </c>
      <c r="C43" s="156" t="n">
        <v>6</v>
      </c>
      <c r="D43" s="156" t="s">
        <v>66</v>
      </c>
      <c r="E43" s="169" t="n">
        <v>0.5</v>
      </c>
      <c r="F43" s="169" t="n">
        <v>0.5</v>
      </c>
      <c r="G43" s="157" t="n">
        <v>9.6</v>
      </c>
      <c r="H43" s="157" t="n">
        <v>18.6</v>
      </c>
      <c r="I43" s="157" t="n">
        <v>35.7</v>
      </c>
      <c r="J43" s="157" t="n">
        <v>10</v>
      </c>
      <c r="K43" s="185">
        <f>IFERROR((H43-J43)/J43,"")</f>
      </c>
      <c r="L43" s="157" t="n"/>
      <c r="M43" s="169" t="n"/>
      <c r="N43" s="187" t="n">
        <v>100</v>
      </c>
      <c r="O43" s="169" t="n"/>
      <c r="P43" s="169" t="s">
        <v>891</v>
      </c>
      <c r="Q43" s="169" t="s">
        <v>914</v>
      </c>
    </row>
    <row r="44" ht="15" customHeight="1">
      <c r="A44" s="176" t="s">
        <v>259</v>
      </c>
      <c r="B44" s="176" t="s">
        <v>260</v>
      </c>
      <c r="C44" s="176" t="n">
        <v>6</v>
      </c>
      <c r="D44" s="176" t="s">
        <v>68</v>
      </c>
      <c r="E44" s="181" t="n">
        <v>1</v>
      </c>
      <c r="F44" s="181" t="n">
        <v>1</v>
      </c>
      <c r="G44" s="177" t="n">
        <v>12</v>
      </c>
      <c r="H44" s="177" t="n">
        <v>24</v>
      </c>
      <c r="I44" s="177" t="n">
        <v>46.2</v>
      </c>
      <c r="J44" s="177" t="n">
        <v>39</v>
      </c>
      <c r="K44" s="178">
        <f>IFERROR((H44-J44)/J44,"")</f>
      </c>
      <c r="L44" s="177" t="n"/>
      <c r="M44" s="181" t="n"/>
      <c r="N44" s="180" t="n">
        <v>200</v>
      </c>
      <c r="O44" s="181" t="n"/>
      <c r="P44" s="181" t="s">
        <v>891</v>
      </c>
      <c r="Q44" s="181" t="s">
        <v>915</v>
      </c>
    </row>
    <row r="45" ht="15" customHeight="1">
      <c r="A45" s="156" t="s">
        <v>263</v>
      </c>
      <c r="B45" s="156" t="s">
        <v>264</v>
      </c>
      <c r="C45" s="156" t="n">
        <v>6</v>
      </c>
      <c r="D45" s="156" t="s">
        <v>66</v>
      </c>
      <c r="E45" s="169" t="n">
        <v>0.5</v>
      </c>
      <c r="F45" s="169" t="n">
        <v>0.5</v>
      </c>
      <c r="G45" s="157" t="n">
        <v>57.8</v>
      </c>
      <c r="H45" s="157" t="n">
        <v>113.6</v>
      </c>
      <c r="I45" s="157" t="n">
        <v>218</v>
      </c>
      <c r="J45" s="157" t="n">
        <v>10</v>
      </c>
      <c r="K45" s="185">
        <f>IFERROR((H45-J45)/J45,"")</f>
      </c>
      <c r="L45" s="157" t="n"/>
      <c r="M45" s="169" t="n"/>
      <c r="N45" s="187" t="n">
        <v>100</v>
      </c>
      <c r="O45" s="169" t="n"/>
      <c r="P45" s="169" t="s">
        <v>891</v>
      </c>
      <c r="Q45" s="169" t="s">
        <v>916</v>
      </c>
    </row>
    <row r="46" ht="15" customHeight="1">
      <c r="A46" s="176" t="s">
        <v>268</v>
      </c>
      <c r="B46" s="176" t="s">
        <v>269</v>
      </c>
      <c r="C46" s="176" t="n">
        <v>6</v>
      </c>
      <c r="D46" s="176" t="s">
        <v>68</v>
      </c>
      <c r="E46" s="181" t="n">
        <v>1</v>
      </c>
      <c r="F46" s="181" t="n">
        <v>1</v>
      </c>
      <c r="G46" s="177" t="n">
        <v>64</v>
      </c>
      <c r="H46" s="177" t="n">
        <v>127</v>
      </c>
      <c r="I46" s="177" t="n">
        <v>242</v>
      </c>
      <c r="J46" s="177" t="n">
        <v>39</v>
      </c>
      <c r="K46" s="178">
        <f>IFERROR((H46-J46)/J46,"")</f>
      </c>
      <c r="L46" s="177" t="n"/>
      <c r="M46" s="181" t="n"/>
      <c r="N46" s="180" t="n">
        <v>200</v>
      </c>
      <c r="O46" s="181" t="n"/>
      <c r="P46" s="181" t="s">
        <v>891</v>
      </c>
      <c r="Q46" s="181" t="s">
        <v>917</v>
      </c>
    </row>
    <row r="47" ht="15" customHeight="1">
      <c r="A47" s="160" t="s">
        <v>272</v>
      </c>
      <c r="B47" s="160" t="s">
        <v>273</v>
      </c>
      <c r="C47" s="160" t="n">
        <v>6</v>
      </c>
      <c r="D47" s="160" t="s">
        <v>70</v>
      </c>
      <c r="E47" s="165" t="n">
        <v>2</v>
      </c>
      <c r="F47" s="165" t="n">
        <v>2</v>
      </c>
      <c r="G47" s="161" t="n">
        <v>62</v>
      </c>
      <c r="H47" s="161" t="n">
        <v>125</v>
      </c>
      <c r="I47" s="161" t="n">
        <v>239</v>
      </c>
      <c r="J47" s="161" t="n">
        <v>174</v>
      </c>
      <c r="K47" s="182">
        <f>IFERROR((H47-J47)/J47,"")</f>
      </c>
      <c r="L47" s="161" t="n"/>
      <c r="M47" s="165" t="n"/>
      <c r="N47" s="184" t="n">
        <v>400</v>
      </c>
      <c r="O47" s="165" t="n"/>
      <c r="P47" s="165" t="s">
        <v>891</v>
      </c>
      <c r="Q47" s="165" t="s">
        <v>918</v>
      </c>
    </row>
    <row r="48" ht="15" customHeight="1">
      <c r="A48" s="176" t="s">
        <v>277</v>
      </c>
      <c r="B48" s="176" t="s">
        <v>278</v>
      </c>
      <c r="C48" s="176" t="n">
        <v>7</v>
      </c>
      <c r="D48" s="176" t="s">
        <v>70</v>
      </c>
      <c r="E48" s="181" t="n">
        <v>2</v>
      </c>
      <c r="F48" s="181" t="n">
        <v>2</v>
      </c>
      <c r="G48" s="177" t="n">
        <v>67</v>
      </c>
      <c r="H48" s="177" t="n">
        <v>132</v>
      </c>
      <c r="I48" s="177" t="n">
        <v>252</v>
      </c>
      <c r="J48" s="177" t="n">
        <v>174</v>
      </c>
      <c r="K48" s="178">
        <f>IFERROR((H48-J48)/J48,"")</f>
      </c>
      <c r="L48" s="177" t="n"/>
      <c r="M48" s="181" t="n"/>
      <c r="N48" s="180" t="n">
        <v>400</v>
      </c>
      <c r="O48" s="181" t="n"/>
      <c r="P48" s="181" t="s">
        <v>891</v>
      </c>
      <c r="Q48" s="181" t="s">
        <v>919</v>
      </c>
    </row>
    <row r="49" ht="15" customHeight="1">
      <c r="A49" s="170" t="s">
        <v>282</v>
      </c>
      <c r="B49" s="170" t="s">
        <v>283</v>
      </c>
      <c r="C49" s="170" t="n">
        <v>7</v>
      </c>
      <c r="D49" s="170" t="s">
        <v>72</v>
      </c>
      <c r="E49" s="171" t="n">
        <v>5</v>
      </c>
      <c r="F49" s="171" t="n">
        <v>3</v>
      </c>
      <c r="G49" s="189" t="n">
        <v>90</v>
      </c>
      <c r="H49" s="189" t="n">
        <v>180</v>
      </c>
      <c r="I49" s="189" t="n">
        <v>345</v>
      </c>
      <c r="J49" s="189" t="n">
        <v>1088</v>
      </c>
      <c r="K49" s="190">
        <f>IFERROR((H49-J49)/J49,"")</f>
      </c>
      <c r="L49" s="189" t="n"/>
      <c r="M49" s="171" t="n"/>
      <c r="N49" s="191" t="n">
        <v>600</v>
      </c>
      <c r="O49" s="171" t="n"/>
      <c r="P49" s="171" t="s">
        <v>891</v>
      </c>
      <c r="Q49" s="171" t="s">
        <v>920</v>
      </c>
    </row>
    <row r="50" ht="15" customHeight="1">
      <c r="A50" s="176" t="s">
        <v>287</v>
      </c>
      <c r="B50" s="176" t="s">
        <v>288</v>
      </c>
      <c r="C50" s="176" t="n">
        <v>7</v>
      </c>
      <c r="D50" s="176" t="s">
        <v>70</v>
      </c>
      <c r="E50" s="181" t="n">
        <v>2</v>
      </c>
      <c r="F50" s="181" t="n">
        <v>2</v>
      </c>
      <c r="G50" s="177" t="n">
        <v>41.2</v>
      </c>
      <c r="H50" s="177" t="n">
        <v>81.09999999999999</v>
      </c>
      <c r="I50" s="177" t="n">
        <v>154.4</v>
      </c>
      <c r="J50" s="177" t="n">
        <v>174</v>
      </c>
      <c r="K50" s="178">
        <f>IFERROR((H50-J50)/J50,"")</f>
      </c>
      <c r="L50" s="177" t="n"/>
      <c r="M50" s="181" t="n"/>
      <c r="N50" s="180" t="n">
        <v>400</v>
      </c>
      <c r="O50" s="181" t="n"/>
      <c r="P50" s="181" t="s">
        <v>891</v>
      </c>
      <c r="Q50" s="181" t="s">
        <v>921</v>
      </c>
    </row>
    <row r="51" ht="15" customHeight="1">
      <c r="A51" s="160" t="s">
        <v>292</v>
      </c>
      <c r="B51" s="160" t="s">
        <v>293</v>
      </c>
      <c r="C51" s="160" t="n">
        <v>7</v>
      </c>
      <c r="D51" s="160" t="s">
        <v>70</v>
      </c>
      <c r="E51" s="165" t="n">
        <v>2</v>
      </c>
      <c r="F51" s="165" t="n">
        <v>2</v>
      </c>
      <c r="G51" s="161" t="n">
        <v>10.2</v>
      </c>
      <c r="H51" s="161" t="n">
        <v>20.1</v>
      </c>
      <c r="I51" s="161" t="n">
        <v>39</v>
      </c>
      <c r="J51" s="161" t="n">
        <v>174</v>
      </c>
      <c r="K51" s="182">
        <f>IFERROR((H51-J51)/J51,"")</f>
      </c>
      <c r="L51" s="161" t="n"/>
      <c r="M51" s="165" t="n"/>
      <c r="N51" s="184" t="n">
        <v>400</v>
      </c>
      <c r="O51" s="165" t="n"/>
      <c r="P51" s="165" t="s">
        <v>891</v>
      </c>
      <c r="Q51" s="165" t="s">
        <v>922</v>
      </c>
    </row>
    <row r="52" ht="15" customHeight="1">
      <c r="A52" s="176" t="s">
        <v>296</v>
      </c>
      <c r="B52" s="176" t="s">
        <v>297</v>
      </c>
      <c r="C52" s="176" t="n">
        <v>7</v>
      </c>
      <c r="D52" s="176" t="s">
        <v>68</v>
      </c>
      <c r="E52" s="181" t="n">
        <v>1</v>
      </c>
      <c r="F52" s="181" t="n">
        <v>1</v>
      </c>
      <c r="G52" s="177" t="n">
        <v>10.2</v>
      </c>
      <c r="H52" s="177" t="n">
        <v>20.1</v>
      </c>
      <c r="I52" s="177" t="n">
        <v>39</v>
      </c>
      <c r="J52" s="177" t="n">
        <v>39</v>
      </c>
      <c r="K52" s="178">
        <f>IFERROR((H52-J52)/J52,"")</f>
      </c>
      <c r="L52" s="177" t="n"/>
      <c r="M52" s="181" t="n"/>
      <c r="N52" s="180" t="n">
        <v>200</v>
      </c>
      <c r="O52" s="181" t="n"/>
      <c r="P52" s="181" t="s">
        <v>891</v>
      </c>
      <c r="Q52" s="181" t="s">
        <v>923</v>
      </c>
    </row>
    <row r="53" ht="15" customHeight="1">
      <c r="A53" s="145" t="s">
        <v>300</v>
      </c>
      <c r="B53" s="145" t="s">
        <v>301</v>
      </c>
      <c r="C53" s="145" t="n">
        <v>8</v>
      </c>
      <c r="D53" s="145" t="s">
        <v>68</v>
      </c>
      <c r="E53" s="147" t="n">
        <v>1</v>
      </c>
      <c r="F53" s="147" t="n">
        <v>1</v>
      </c>
      <c r="G53" s="150" t="n">
        <v>10.2</v>
      </c>
      <c r="H53" s="150" t="n">
        <v>20.1</v>
      </c>
      <c r="I53" s="150" t="n">
        <v>39</v>
      </c>
      <c r="J53" s="150" t="n">
        <v>39</v>
      </c>
      <c r="K53" s="173">
        <f>IFERROR((H53-J53)/J53,"")</f>
      </c>
      <c r="L53" s="150" t="n"/>
      <c r="M53" s="147" t="n"/>
      <c r="N53" s="175" t="n">
        <v>200</v>
      </c>
      <c r="O53" s="147" t="n"/>
      <c r="P53" s="147" t="s">
        <v>891</v>
      </c>
      <c r="Q53" s="147" t="s">
        <v>923</v>
      </c>
    </row>
    <row r="54" ht="15" customHeight="1">
      <c r="A54" s="176" t="s">
        <v>304</v>
      </c>
      <c r="B54" s="176" t="s">
        <v>305</v>
      </c>
      <c r="C54" s="176" t="n">
        <v>8</v>
      </c>
      <c r="D54" s="176" t="s">
        <v>66</v>
      </c>
      <c r="E54" s="181" t="n">
        <v>0.5</v>
      </c>
      <c r="F54" s="181" t="n">
        <v>0.5</v>
      </c>
      <c r="G54" s="177" t="n">
        <v>7.8</v>
      </c>
      <c r="H54" s="177" t="n">
        <v>15.6</v>
      </c>
      <c r="I54" s="177" t="n">
        <v>30.6</v>
      </c>
      <c r="J54" s="177" t="n">
        <v>10</v>
      </c>
      <c r="K54" s="178">
        <f>IFERROR((H54-J54)/J54,"")</f>
      </c>
      <c r="L54" s="177" t="n"/>
      <c r="M54" s="181" t="n"/>
      <c r="N54" s="180" t="n">
        <v>100</v>
      </c>
      <c r="O54" s="181" t="n"/>
      <c r="P54" s="181" t="s">
        <v>891</v>
      </c>
      <c r="Q54" s="181" t="s">
        <v>924</v>
      </c>
    </row>
    <row r="55" ht="15" customHeight="1">
      <c r="A55" s="145" t="s">
        <v>308</v>
      </c>
      <c r="B55" s="145" t="s">
        <v>309</v>
      </c>
      <c r="C55" s="145" t="n">
        <v>8</v>
      </c>
      <c r="D55" s="145" t="s">
        <v>68</v>
      </c>
      <c r="E55" s="147" t="n">
        <v>1</v>
      </c>
      <c r="F55" s="147" t="n">
        <v>1</v>
      </c>
      <c r="G55" s="150" t="n">
        <v>7.8</v>
      </c>
      <c r="H55" s="150" t="n">
        <v>15.6</v>
      </c>
      <c r="I55" s="150" t="n">
        <v>30.6</v>
      </c>
      <c r="J55" s="150" t="n">
        <v>39</v>
      </c>
      <c r="K55" s="173">
        <f>IFERROR((H55-J55)/J55,"")</f>
      </c>
      <c r="L55" s="150" t="n"/>
      <c r="M55" s="147" t="n"/>
      <c r="N55" s="175" t="n">
        <v>200</v>
      </c>
      <c r="O55" s="147" t="n"/>
      <c r="P55" s="147" t="s">
        <v>891</v>
      </c>
      <c r="Q55" s="147" t="s">
        <v>925</v>
      </c>
    </row>
    <row r="56" ht="15" customHeight="1">
      <c r="A56" s="176" t="s">
        <v>312</v>
      </c>
      <c r="B56" s="176" t="s">
        <v>313</v>
      </c>
      <c r="C56" s="176" t="n">
        <v>8</v>
      </c>
      <c r="D56" s="176" t="s">
        <v>66</v>
      </c>
      <c r="E56" s="181" t="n">
        <v>0.5</v>
      </c>
      <c r="F56" s="181" t="n">
        <v>0.5</v>
      </c>
      <c r="G56" s="177" t="n">
        <v>52.8</v>
      </c>
      <c r="H56" s="177" t="n">
        <v>104</v>
      </c>
      <c r="I56" s="177" t="n">
        <v>198.8</v>
      </c>
      <c r="J56" s="177" t="n">
        <v>10</v>
      </c>
      <c r="K56" s="178">
        <f>IFERROR((H56-J56)/J56,"")</f>
      </c>
      <c r="L56" s="177" t="n"/>
      <c r="M56" s="181" t="n"/>
      <c r="N56" s="180" t="n">
        <v>100</v>
      </c>
      <c r="O56" s="181" t="n"/>
      <c r="P56" s="181" t="s">
        <v>891</v>
      </c>
      <c r="Q56" s="181" t="s">
        <v>926</v>
      </c>
    </row>
    <row r="57" ht="15" customHeight="1">
      <c r="A57" s="145" t="s">
        <v>317</v>
      </c>
      <c r="B57" s="145" t="s">
        <v>318</v>
      </c>
      <c r="C57" s="145" t="n">
        <v>8</v>
      </c>
      <c r="D57" s="145" t="s">
        <v>68</v>
      </c>
      <c r="E57" s="147" t="n">
        <v>1</v>
      </c>
      <c r="F57" s="147" t="n">
        <v>1</v>
      </c>
      <c r="G57" s="150" t="n">
        <v>37.6</v>
      </c>
      <c r="H57" s="150" t="n">
        <v>72.2</v>
      </c>
      <c r="I57" s="150" t="n">
        <v>138.2</v>
      </c>
      <c r="J57" s="150" t="n">
        <v>39</v>
      </c>
      <c r="K57" s="173">
        <f>IFERROR((H57-J57)/J57,"")</f>
      </c>
      <c r="L57" s="150" t="n"/>
      <c r="M57" s="147" t="n"/>
      <c r="N57" s="175" t="n">
        <v>200</v>
      </c>
      <c r="O57" s="147" t="n"/>
      <c r="P57" s="147" t="s">
        <v>891</v>
      </c>
      <c r="Q57" s="147" t="s">
        <v>927</v>
      </c>
    </row>
    <row r="58" ht="18" customHeight="1">
      <c r="A58" s="140" t="s">
        <v>928</v>
      </c>
      <c r="B58" s="192" t="n"/>
      <c r="C58" s="192" t="n"/>
      <c r="D58" s="192" t="n"/>
      <c r="E58" s="192" t="n"/>
      <c r="F58" s="193" t="n">
        <v>56</v>
      </c>
      <c r="G58" s="194" t="n">
        <v>2084.8</v>
      </c>
      <c r="H58" s="194" t="n">
        <v>4097.9</v>
      </c>
      <c r="I58" s="194" t="n">
        <v>7863.9</v>
      </c>
      <c r="J58" s="194" t="n">
        <v>4060</v>
      </c>
      <c r="K58" s="192" t="n"/>
      <c r="L58" s="192" t="n"/>
      <c r="M58" s="192" t="n"/>
      <c r="N58" s="195" t="n">
        <v>11200</v>
      </c>
      <c r="O58" s="192" t="n"/>
      <c r="P58" s="192" t="n"/>
      <c r="Q58" s="192" t="n"/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2026-04-08T16:44:28Z</dcterms:created>
  <dcterms:modified xmlns:dcterms="http://purl.org/dc/terms/" xmlns:xsi="http://www.w3.org/2001/XMLSchema-instance" xsi:type="dcterms:W3CDTF">2026-04-08T18:17:25Z</dcterms:modified>
</cp:coreProperties>
</file>