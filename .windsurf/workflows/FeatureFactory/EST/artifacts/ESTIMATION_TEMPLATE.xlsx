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Client Quote" sheetId="1" state="visible" r:id="rId1"/>
    <sheet xmlns:r="http://schemas.openxmlformats.org/officeDocument/2006/relationships" name="1-Setup" sheetId="2" state="visible" r:id="rId2"/>
    <sheet xmlns:r="http://schemas.openxmlformats.org/officeDocument/2006/relationships" name="2-Scenario List" sheetId="3" state="visible" r:id="rId3"/>
    <sheet xmlns:r="http://schemas.openxmlformats.org/officeDocument/2006/relationships" name="3-ECF" sheetId="4" state="visible" r:id="rId4"/>
    <sheet xmlns:r="http://schemas.openxmlformats.org/officeDocument/2006/relationships" name="4-TCF" sheetId="5" state="visible" r:id="rId5"/>
    <sheet xmlns:r="http://schemas.openxmlformats.org/officeDocument/2006/relationships" name="5-Rough Estimates" sheetId="6" state="visible" r:id="rId6"/>
    <sheet xmlns:r="http://schemas.openxmlformats.org/officeDocument/2006/relationships" name="6-Monte Carlo" sheetId="7" state="visible" r:id="rId7"/>
    <sheet xmlns:r="http://schemas.openxmlformats.org/officeDocument/2006/relationships" name="7-WBS Features" sheetId="8" state="visible" r:id="rId8"/>
    <sheet xmlns:r="http://schemas.openxmlformats.org/officeDocument/2006/relationships" name="8-Detailed Estim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"/>
    <numFmt numFmtId="166" formatCode="#,##0.000"/>
    <numFmt numFmtId="167" formatCode="0.0%;(0.0%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F2D3D"/>
      <sz val="10"/>
    </font>
    <font>
      <name val="Arial"/>
      <color rgb="000000CC"/>
      <sz val="10"/>
    </font>
    <font>
      <name val="Arial"/>
      <b val="1"/>
      <color rgb="001F2D3D"/>
      <sz val="10"/>
    </font>
    <font>
      <name val="Arial"/>
      <color rgb="00555555"/>
      <sz val="9"/>
    </font>
    <font>
      <name val="Arial"/>
      <i val="1"/>
      <color rgb="00555555"/>
      <sz val="9"/>
    </font>
    <font>
      <name val="Arial"/>
      <i val="1"/>
      <color rgb="00888888"/>
      <sz val="9"/>
    </font>
    <font>
      <name val="Arial"/>
      <color rgb="00888888"/>
      <sz val="9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048A81"/>
      </patternFill>
    </fill>
    <fill>
      <patternFill patternType="solid">
        <fgColor rgb="002E4057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54C6EB"/>
      </patternFill>
    </fill>
    <fill>
      <patternFill patternType="solid">
        <fgColor rgb="00F4A261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7" fillId="0" borderId="0" pivotButton="0" quotePrefix="0" xfId="0"/>
    <xf numFmtId="3" fontId="5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6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9" borderId="0" applyAlignment="1" pivotButton="0" quotePrefix="0" xfId="0">
      <alignment horizontal="left" vertical="center" wrapText="1"/>
    </xf>
    <xf numFmtId="0" fontId="6" fillId="0" borderId="0" pivotButton="0" quotePrefix="0" xfId="0"/>
    <xf numFmtId="166" fontId="4" fillId="0" borderId="1" applyAlignment="1" pivotButton="0" quotePrefix="0" xfId="0">
      <alignment horizontal="right" vertical="center"/>
    </xf>
    <xf numFmtId="166" fontId="4" fillId="10" borderId="1" applyAlignment="1" pivotButton="0" quotePrefix="0" xfId="0">
      <alignment horizontal="right" vertical="center"/>
    </xf>
    <xf numFmtId="0" fontId="10" fillId="0" borderId="0" pivotButton="0" quotePrefix="0" xfId="0"/>
    <xf numFmtId="0" fontId="2" fillId="1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0" fontId="0" fillId="11" borderId="1" pivotButton="0" quotePrefix="0" xfId="0"/>
    <xf numFmtId="0" fontId="8" fillId="5" borderId="0" applyAlignment="1" pivotButton="0" quotePrefix="0" xfId="0">
      <alignment horizontal="left" vertical="center" wrapText="1"/>
    </xf>
    <xf numFmtId="167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4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FORGE Estimation — Client Quote  (AFP × $/FP)</t>
        </is>
      </c>
    </row>
    <row r="3">
      <c r="A3" s="2" t="inlineStr">
        <is>
          <t>A. PRICING PARAMETERS  (Stack Factor × Org Factor × $/FP)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Description / Source</t>
        </is>
      </c>
      <c r="D4" s="3" t="inlineStr"/>
    </row>
    <row r="5">
      <c r="A5" s="4" t="inlineStr">
        <is>
          <t>Stack Factor (base tier)</t>
        </is>
      </c>
      <c r="B5" s="5" t="inlineStr"/>
      <c r="C5" s="4" t="inlineStr">
        <is>
          <t>See REFERENCE_TABLE §4: 0.85 (greenfield) → 2.50+ (gov/FedRAMP)</t>
        </is>
      </c>
    </row>
    <row r="6">
      <c r="A6" s="4" t="inlineStr">
        <is>
          <t>Stack Factor modifiers</t>
        </is>
      </c>
      <c r="B6" s="5" t="inlineStr"/>
      <c r="C6" s="4" t="inlineStr">
        <is>
          <t>On-prem +0.10 / Legacy +0.15 / Multi-cloud +0.15 / Mobile +0.20</t>
        </is>
      </c>
    </row>
    <row r="7">
      <c r="A7" s="6" t="inlineStr">
        <is>
          <t>Stack Factor TOTAL</t>
        </is>
      </c>
      <c r="B7" s="7" t="inlineStr"/>
      <c r="C7" s="4">
        <f> Base + modifiers (enter combined value)</f>
        <v/>
      </c>
    </row>
    <row r="8">
      <c r="A8" s="4" t="inlineStr">
        <is>
          <t>Org Factor</t>
        </is>
      </c>
      <c r="B8" s="5" t="inlineStr"/>
      <c r="C8" s="4" t="inlineStr">
        <is>
          <t>See REFERENCE_TABLE §5: 0.80 (startup) → 3.50 (government)</t>
        </is>
      </c>
    </row>
    <row r="9">
      <c r="A9" s="4" t="inlineStr">
        <is>
          <t>$/FP Rate</t>
        </is>
      </c>
      <c r="B9" s="8" t="n">
        <v>250</v>
      </c>
      <c r="C9" s="4" t="inlineStr">
        <is>
          <t>SEED default $250. Update after 3 sprints via EST-08 calibration.</t>
        </is>
      </c>
    </row>
    <row r="10">
      <c r="A10" s="4" t="inlineStr">
        <is>
          <t>$/FP Status</t>
        </is>
      </c>
      <c r="B10" s="5" t="inlineStr">
        <is>
          <t>SEED</t>
        </is>
      </c>
      <c r="C10" s="4" t="inlineStr">
        <is>
          <t>SEED / CALIBRATED — change after 3 sprint actuals</t>
        </is>
      </c>
    </row>
    <row r="12">
      <c r="A12" s="2" t="inlineStr">
        <is>
          <t>B. QUOTE SUMMARY  (AFP = FP × Stack × Org)</t>
        </is>
      </c>
    </row>
    <row r="13">
      <c r="A13" s="9" t="inlineStr">
        <is>
          <t>Line Item</t>
        </is>
      </c>
      <c r="B13" s="9" t="inlineStr">
        <is>
          <t>FP</t>
        </is>
      </c>
      <c r="C13" s="9" t="inlineStr">
        <is>
          <t>Stack × Org Adj.</t>
        </is>
      </c>
      <c r="D13" s="9" t="inlineStr">
        <is>
          <t>AFP</t>
        </is>
      </c>
      <c r="E13" s="9" t="inlineStr">
        <is>
          <t>$ Total (AFP × $/FP)</t>
        </is>
      </c>
    </row>
    <row r="14">
      <c r="A14" s="4" t="inlineStr">
        <is>
          <t>Sprint 0 — Project Setup (BSP + DSP)</t>
        </is>
      </c>
      <c r="B14" s="10" t="n">
        <v>15</v>
      </c>
      <c r="C14" s="11">
        <f>IFERROR($B$7*$B$8,"")</f>
        <v/>
      </c>
      <c r="D14" s="12">
        <f>IFERROR(B14*C14,"")</f>
        <v/>
      </c>
      <c r="E14" s="13">
        <f>IFERROR(D14*$B$9,"")</f>
        <v/>
      </c>
    </row>
    <row r="15">
      <c r="A15" s="4" t="inlineStr">
        <is>
          <t>Feature Delivery (from Scenario List)</t>
        </is>
      </c>
      <c r="B15" s="10" t="inlineStr"/>
      <c r="C15" s="11">
        <f>IFERROR($B$7*$B$8,"")</f>
        <v/>
      </c>
      <c r="D15" s="12">
        <f>IFERROR(B15*C15,"")</f>
        <v/>
      </c>
      <c r="E15" s="13">
        <f>IFERROR(D15*$B$9,"")</f>
        <v/>
      </c>
    </row>
    <row r="16">
      <c r="A16" s="14" t="inlineStr">
        <is>
          <t>PROJECT TOTAL</t>
        </is>
      </c>
      <c r="B16" s="15">
        <f>SUM(B14:B15)</f>
        <v/>
      </c>
      <c r="C16" s="16">
        <f>IFERROR($B$7*$B$8,"")</f>
        <v/>
      </c>
      <c r="D16" s="15">
        <f>SUM(D14:D15)</f>
        <v/>
      </c>
      <c r="E16" s="17">
        <f>SUM(E14:E15)</f>
        <v/>
      </c>
    </row>
    <row r="18">
      <c r="A18" s="2" t="inlineStr">
        <is>
          <t>C. DELIVERY COMMITMENT BANDS  (from Monte Carlo — EST-07)</t>
        </is>
      </c>
    </row>
    <row r="19">
      <c r="A19" s="9" t="inlineStr">
        <is>
          <t>Percentile</t>
        </is>
      </c>
      <c r="B19" s="9" t="inlineStr">
        <is>
          <t>AFP (adj. for band)</t>
        </is>
      </c>
      <c r="C19" s="9" t="inlineStr">
        <is>
          <t>$ Total</t>
        </is>
      </c>
      <c r="D19" s="9" t="inlineStr">
        <is>
          <t>Duration (days)</t>
        </is>
      </c>
      <c r="E19" s="9" t="inlineStr">
        <is>
          <t>Est. Completion Date</t>
        </is>
      </c>
    </row>
    <row r="20">
      <c r="A20" s="4" t="inlineStr">
        <is>
          <t>P50 — Median</t>
        </is>
      </c>
      <c r="B20" s="18" t="inlineStr"/>
      <c r="C20" s="18" t="inlineStr"/>
      <c r="D20" s="18" t="inlineStr"/>
      <c r="E20" s="18" t="inlineStr"/>
    </row>
    <row r="21">
      <c r="A21" s="6" t="inlineStr">
        <is>
          <t>P80 — Planning Target ★</t>
        </is>
      </c>
      <c r="B21" s="19" t="inlineStr"/>
      <c r="C21" s="19" t="inlineStr"/>
      <c r="D21" s="19" t="inlineStr"/>
      <c r="E21" s="19" t="inlineStr"/>
    </row>
    <row r="22">
      <c r="A22" s="4" t="inlineStr">
        <is>
          <t>P95 — Conservative Commitment</t>
        </is>
      </c>
      <c r="B22" s="18" t="inlineStr"/>
      <c r="C22" s="18" t="inlineStr"/>
      <c r="D22" s="18" t="inlineStr"/>
      <c r="E22" s="18" t="inlineStr"/>
    </row>
    <row r="24">
      <c r="A24" s="2" t="inlineStr">
        <is>
          <t>D. NOTES</t>
        </is>
      </c>
    </row>
    <row r="25">
      <c r="A25" s="20" t="inlineStr">
        <is>
          <t>• FP weights: XS=0.5, S=1, M=2, L=3, XL=5  (see REFERENCE_TABLE §1)</t>
        </is>
      </c>
    </row>
    <row r="26">
      <c r="A26" s="20" t="inlineStr">
        <is>
          <t>• AFP = Σ FP × Stack Factor × Org Factor  — this is what the client sees</t>
        </is>
      </c>
    </row>
    <row r="27">
      <c r="A27" s="20" t="inlineStr">
        <is>
          <t>• $/FP rate starts at $250 SEED. Update via EST-08 after each sprint close.</t>
        </is>
      </c>
    </row>
    <row r="28">
      <c r="A28" s="20" t="inlineStr">
        <is>
          <t>• ECF / TCF are INTERNAL multipliers (Tab 3-ECF, 4-TCF) — never on this quote</t>
        </is>
      </c>
    </row>
    <row r="29">
      <c r="A29" s="20" t="inlineStr">
        <is>
          <t>• Delivery bands (section C) are populated after running Monte Carlo (EST-07)</t>
        </is>
      </c>
    </row>
  </sheetData>
  <mergeCells count="10">
    <mergeCell ref="A12:H12"/>
    <mergeCell ref="A18:H18"/>
    <mergeCell ref="A3:H3"/>
    <mergeCell ref="A26:H26"/>
    <mergeCell ref="A29:H29"/>
    <mergeCell ref="A25:H25"/>
    <mergeCell ref="A24:H24"/>
    <mergeCell ref="A28:H28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40" customWidth="1" min="8" max="8"/>
    <col width="14" customWidth="1" min="9" max="9"/>
    <col width="14" customWidth="1" min="10" max="10"/>
  </cols>
  <sheetData>
    <row r="1" ht="28" customHeight="1">
      <c r="A1" s="1" t="inlineStr">
        <is>
          <t>FORGE Estimation Template — Setup &amp; Calibration</t>
        </is>
      </c>
    </row>
    <row r="3">
      <c r="A3" s="2" t="inlineStr">
        <is>
          <t>A. PROJECT PARAMETERS</t>
        </is>
      </c>
    </row>
    <row r="4">
      <c r="A4" s="4" t="inlineStr">
        <is>
          <t>Project Name</t>
        </is>
      </c>
      <c r="B4" s="5" t="inlineStr"/>
    </row>
    <row r="5">
      <c r="A5" s="4" t="inlineStr">
        <is>
          <t>Sprint Duration (days)</t>
        </is>
      </c>
      <c r="B5" s="5" t="n">
        <v>1</v>
      </c>
    </row>
    <row r="6">
      <c r="A6" s="4" t="inlineStr">
        <is>
          <t>Daily Token Throughput (K tokens)</t>
        </is>
      </c>
      <c r="B6" s="5" t="n">
        <v>1500</v>
      </c>
    </row>
    <row r="7">
      <c r="A7" s="4" t="inlineStr">
        <is>
          <t>AI Model</t>
        </is>
      </c>
      <c r="B7" s="5" t="inlineStr">
        <is>
          <t>Claude Sonnet 4.x</t>
        </is>
      </c>
    </row>
    <row r="8">
      <c r="A8" s="4" t="inlineStr">
        <is>
          <t>Productivity Adjustment Factor (PAF)</t>
        </is>
      </c>
      <c r="B8" s="5" t="n">
        <v>1.4</v>
      </c>
    </row>
    <row r="9">
      <c r="A9" s="4" t="inlineStr">
        <is>
          <t>Rework Surcharge (%)</t>
        </is>
      </c>
      <c r="B9" s="5" t="n">
        <v>0.12</v>
      </c>
    </row>
    <row r="10">
      <c r="A10" s="4" t="inlineStr">
        <is>
          <t>Combined Risk Multiplier (ECF × TCF — internal)</t>
        </is>
      </c>
      <c r="B10" s="5" t="inlineStr"/>
    </row>
    <row r="11">
      <c r="A11" s="4" t="inlineStr">
        <is>
          <t>Estimation Phase</t>
        </is>
      </c>
      <c r="B11" s="5" t="inlineStr">
        <is>
          <t>Approved Concept</t>
        </is>
      </c>
    </row>
    <row r="12">
      <c r="A12" s="4" t="inlineStr">
        <is>
          <t>Convergence Min Multiplier</t>
        </is>
      </c>
      <c r="B12" s="5" t="n">
        <v>0.5</v>
      </c>
    </row>
    <row r="13">
      <c r="A13" s="4" t="inlineStr">
        <is>
          <t>Convergence Max Multiplier</t>
        </is>
      </c>
      <c r="B13" s="5" t="n">
        <v>2</v>
      </c>
    </row>
    <row r="15">
      <c r="A15" s="2" t="inlineStr">
        <is>
          <t>B. REFERENCE STORY BASELINES  (SP = internal effort | FP = client deliverable)</t>
        </is>
      </c>
    </row>
    <row r="16">
      <c r="A16" s="9" t="inlineStr">
        <is>
          <t>Size</t>
        </is>
      </c>
      <c r="B16" s="9" t="inlineStr">
        <is>
          <t>SP (internal)</t>
        </is>
      </c>
      <c r="C16" s="9" t="inlineStr">
        <is>
          <t>FP weight (client)</t>
        </is>
      </c>
      <c r="D16" s="9" t="inlineStr">
        <is>
          <t>K Min (K tok)</t>
        </is>
      </c>
      <c r="E16" s="9" t="inlineStr">
        <is>
          <t>K Exp (K tok)</t>
        </is>
      </c>
      <c r="F16" s="9" t="inlineStr">
        <is>
          <t>K Max (K tok)</t>
        </is>
      </c>
      <c r="G16" s="9" t="inlineStr">
        <is>
          <t>Status</t>
        </is>
      </c>
      <c r="H16" s="9" t="inlineStr">
        <is>
          <t>Source / Notes</t>
        </is>
      </c>
    </row>
    <row r="17">
      <c r="A17" s="4" t="inlineStr">
        <is>
          <t>XS</t>
        </is>
      </c>
      <c r="B17" s="10" t="n">
        <v>0.5</v>
      </c>
      <c r="C17" s="10" t="n">
        <v>0.5</v>
      </c>
      <c r="D17" s="21" t="n">
        <v>12</v>
      </c>
      <c r="E17" s="21" t="n">
        <v>22</v>
      </c>
      <c r="F17" s="21" t="n">
        <v>36</v>
      </c>
      <c r="G17" s="4" t="inlineStr">
        <is>
          <t>SEED</t>
        </is>
      </c>
      <c r="H17" s="4" t="inlineStr">
        <is>
          <t>Single HTMX fragment, read-only view</t>
        </is>
      </c>
    </row>
    <row r="18">
      <c r="A18" s="4" t="inlineStr">
        <is>
          <t>S</t>
        </is>
      </c>
      <c r="B18" s="10" t="n">
        <v>1</v>
      </c>
      <c r="C18" s="10" t="n">
        <v>1</v>
      </c>
      <c r="D18" s="21" t="n">
        <v>25</v>
      </c>
      <c r="E18" s="21" t="n">
        <v>45</v>
      </c>
      <c r="F18" s="21" t="n">
        <v>72</v>
      </c>
      <c r="G18" s="4" t="inlineStr">
        <is>
          <t>SEED</t>
        </is>
      </c>
      <c r="H18" s="4" t="inlineStr">
        <is>
          <t>Simple CRUD, 1 model, 3-5 scenarios</t>
        </is>
      </c>
    </row>
    <row r="19">
      <c r="A19" s="4" t="inlineStr">
        <is>
          <t>M</t>
        </is>
      </c>
      <c r="B19" s="10" t="n">
        <v>2</v>
      </c>
      <c r="C19" s="10" t="n">
        <v>2</v>
      </c>
      <c r="D19" s="21" t="n">
        <v>60</v>
      </c>
      <c r="E19" s="21" t="n">
        <v>100</v>
      </c>
      <c r="F19" s="21" t="n">
        <v>160</v>
      </c>
      <c r="G19" s="4" t="inlineStr">
        <is>
          <t>SEED</t>
        </is>
      </c>
      <c r="H19" s="4" t="inlineStr">
        <is>
          <t>New model+service+repo+view+template</t>
        </is>
      </c>
    </row>
    <row r="20">
      <c r="A20" s="4" t="inlineStr">
        <is>
          <t>L</t>
        </is>
      </c>
      <c r="B20" s="10" t="n">
        <v>5</v>
      </c>
      <c r="C20" s="10" t="n">
        <v>3</v>
      </c>
      <c r="D20" s="21" t="n">
        <v>155</v>
      </c>
      <c r="E20" s="21" t="n">
        <v>250</v>
      </c>
      <c r="F20" s="21" t="n">
        <v>410</v>
      </c>
      <c r="G20" s="4" t="inlineStr">
        <is>
          <t>SEED</t>
        </is>
      </c>
      <c r="H20" s="4" t="inlineStr">
        <is>
          <t>Cross-cutting feature (auth, search, export)</t>
        </is>
      </c>
    </row>
    <row r="21">
      <c r="A21" s="4" t="inlineStr">
        <is>
          <t>XL</t>
        </is>
      </c>
      <c r="B21" s="10" t="n">
        <v>8</v>
      </c>
      <c r="C21" s="10" t="n">
        <v>5</v>
      </c>
      <c r="D21" s="21" t="n">
        <v>275</v>
      </c>
      <c r="E21" s="21" t="n">
        <v>440</v>
      </c>
      <c r="F21" s="21" t="n">
        <v>720</v>
      </c>
      <c r="G21" s="4" t="inlineStr">
        <is>
          <t>SEED</t>
        </is>
      </c>
      <c r="H21" s="4" t="inlineStr">
        <is>
          <t>Novel integration (external API, MCP server)</t>
        </is>
      </c>
    </row>
    <row r="22">
      <c r="A22" s="22" t="inlineStr">
        <is>
          <t>SP drives internal token budget (Est. = SP × K × ECF×TCF).  FP weights drive client AFP (AFP = Σ FP × Stack × Org).  L=5 SP / 3 FP and XL=8 SP / 5 FP — complex work ≠ proportional client value.</t>
        </is>
      </c>
    </row>
    <row r="24">
      <c r="A24" s="2" t="inlineStr">
        <is>
          <t>C. SPRINT CAPACITY PLANNING</t>
        </is>
      </c>
    </row>
    <row r="25">
      <c r="A25" s="9" t="inlineStr">
        <is>
          <t>Sprint #</t>
        </is>
      </c>
      <c r="B25" s="9" t="inlineStr">
        <is>
          <t>SP Capacity</t>
        </is>
      </c>
      <c r="C25" s="9" t="inlineStr">
        <is>
          <t>Token Budget (K, expected)</t>
        </is>
      </c>
      <c r="D25" s="9" t="inlineStr">
        <is>
          <t>Token Budget (K, max)</t>
        </is>
      </c>
      <c r="E25" s="9" t="inlineStr">
        <is>
          <t>Notes</t>
        </is>
      </c>
    </row>
    <row r="26">
      <c r="A26" s="21" t="n">
        <v>1</v>
      </c>
      <c r="B26" s="10" t="inlineStr"/>
      <c r="C26" s="23">
        <f>IFERROR(B26*VLOOKUP("M",$A$17:$E$21,4,FALSE)*B10,"")</f>
        <v/>
      </c>
      <c r="D26" s="23">
        <f>IFERROR(B26*VLOOKUP("M",$A$17:$F$21,6,FALSE)*B10*1.15,"")</f>
        <v/>
      </c>
      <c r="E26" s="4" t="inlineStr"/>
    </row>
    <row r="27">
      <c r="A27" s="21" t="n">
        <v>2</v>
      </c>
      <c r="B27" s="10" t="inlineStr"/>
      <c r="C27" s="23">
        <f>IFERROR(B27*VLOOKUP("M",$A$17:$E$21,4,FALSE)*B10,"")</f>
        <v/>
      </c>
      <c r="D27" s="23">
        <f>IFERROR(B27*VLOOKUP("M",$A$17:$F$21,6,FALSE)*B10*1.15,"")</f>
        <v/>
      </c>
      <c r="E27" s="4" t="inlineStr"/>
    </row>
    <row r="28">
      <c r="A28" s="21" t="n">
        <v>3</v>
      </c>
      <c r="B28" s="10" t="inlineStr"/>
      <c r="C28" s="23">
        <f>IFERROR(B28*VLOOKUP("M",$A$17:$E$21,4,FALSE)*B10,"")</f>
        <v/>
      </c>
      <c r="D28" s="23">
        <f>IFERROR(B28*VLOOKUP("M",$A$17:$F$21,6,FALSE)*B10*1.15,"")</f>
        <v/>
      </c>
      <c r="E28" s="4" t="inlineStr"/>
    </row>
    <row r="29">
      <c r="A29" s="21" t="n">
        <v>4</v>
      </c>
      <c r="B29" s="10" t="inlineStr"/>
      <c r="C29" s="23">
        <f>IFERROR(B29*VLOOKUP("M",$A$17:$E$21,4,FALSE)*B10,"")</f>
        <v/>
      </c>
      <c r="D29" s="23">
        <f>IFERROR(B29*VLOOKUP("M",$A$17:$F$21,6,FALSE)*B10*1.15,"")</f>
        <v/>
      </c>
      <c r="E29" s="4" t="inlineStr"/>
    </row>
    <row r="30">
      <c r="A30" s="21" t="n">
        <v>5</v>
      </c>
      <c r="B30" s="10" t="inlineStr"/>
      <c r="C30" s="23">
        <f>IFERROR(B30*VLOOKUP("M",$A$17:$E$21,4,FALSE)*B10,"")</f>
        <v/>
      </c>
      <c r="D30" s="23">
        <f>IFERROR(B30*VLOOKUP("M",$A$17:$F$21,6,FALSE)*B10*1.15,"")</f>
        <v/>
      </c>
      <c r="E30" s="4" t="inlineStr"/>
    </row>
    <row r="31">
      <c r="A31" s="21" t="n">
        <v>6</v>
      </c>
      <c r="B31" s="10" t="inlineStr"/>
      <c r="C31" s="23">
        <f>IFERROR(B31*VLOOKUP("M",$A$17:$E$21,4,FALSE)*B10,"")</f>
        <v/>
      </c>
      <c r="D31" s="23">
        <f>IFERROR(B31*VLOOKUP("M",$A$17:$F$21,6,FALSE)*B10*1.15,"")</f>
        <v/>
      </c>
      <c r="E31" s="4" t="inlineStr"/>
    </row>
    <row r="32">
      <c r="A32" s="21" t="n">
        <v>7</v>
      </c>
      <c r="B32" s="10" t="inlineStr"/>
      <c r="C32" s="23">
        <f>IFERROR(B32*VLOOKUP("M",$A$17:$E$21,4,FALSE)*B10,"")</f>
        <v/>
      </c>
      <c r="D32" s="23">
        <f>IFERROR(B32*VLOOKUP("M",$A$17:$F$21,6,FALSE)*B10*1.15,"")</f>
        <v/>
      </c>
      <c r="E32" s="4" t="inlineStr"/>
    </row>
    <row r="33">
      <c r="A33" s="21" t="n">
        <v>8</v>
      </c>
      <c r="B33" s="10" t="inlineStr"/>
      <c r="C33" s="23">
        <f>IFERROR(B33*VLOOKUP("M",$A$17:$E$21,4,FALSE)*B10,"")</f>
        <v/>
      </c>
      <c r="D33" s="23">
        <f>IFERROR(B33*VLOOKUP("M",$A$17:$F$21,6,FALSE)*B10*1.15,"")</f>
        <v/>
      </c>
      <c r="E33" s="4" t="inlineStr"/>
    </row>
  </sheetData>
  <mergeCells count="5">
    <mergeCell ref="A1:J1"/>
    <mergeCell ref="A22:J22"/>
    <mergeCell ref="A3:J3"/>
    <mergeCell ref="A15:J15"/>
    <mergeCell ref="A24:J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8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30" customWidth="1" min="15" max="15"/>
  </cols>
  <sheetData>
    <row r="1" ht="28" customHeight="1">
      <c r="A1" s="1" t="inlineStr">
        <is>
          <t>Scenario List — Level 1 T-Shirt Sizing  (SP = internal | FP = client)</t>
        </is>
      </c>
    </row>
    <row r="2">
      <c r="A2" s="9" t="inlineStr">
        <is>
          <t>Scenario ID</t>
        </is>
      </c>
      <c r="B2" s="9" t="inlineStr">
        <is>
          <t>Feature</t>
        </is>
      </c>
      <c r="C2" s="9" t="inlineStr">
        <is>
          <t>Act/Group</t>
        </is>
      </c>
      <c r="D2" s="9" t="inlineStr">
        <is>
          <t>Scenario Description</t>
        </is>
      </c>
      <c r="E2" s="9" t="inlineStr">
        <is>
          <t>Size</t>
        </is>
      </c>
      <c r="F2" s="9" t="inlineStr">
        <is>
          <t>SP (internal)</t>
        </is>
      </c>
      <c r="G2" s="9" t="inlineStr">
        <is>
          <t>FP weight (client)</t>
        </is>
      </c>
      <c r="H2" s="9" t="inlineStr">
        <is>
          <t>K Min</t>
        </is>
      </c>
      <c r="I2" s="9" t="inlineStr">
        <is>
          <t>K Exp</t>
        </is>
      </c>
      <c r="J2" s="9" t="inlineStr">
        <is>
          <t>K Max</t>
        </is>
      </c>
      <c r="K2" s="9" t="inlineStr">
        <is>
          <t>Adj K Min</t>
        </is>
      </c>
      <c r="L2" s="9" t="inlineStr">
        <is>
          <t>Adj K Exp</t>
        </is>
      </c>
      <c r="M2" s="9" t="inlineStr">
        <is>
          <t>Adj K Max</t>
        </is>
      </c>
      <c r="N2" s="9" t="inlineStr">
        <is>
          <t>Sprint #</t>
        </is>
      </c>
      <c r="O2" s="9" t="inlineStr">
        <is>
          <t>Notes / Assumptions</t>
        </is>
      </c>
    </row>
    <row r="3">
      <c r="A3" s="5" t="inlineStr"/>
      <c r="B3" s="5" t="inlineStr"/>
      <c r="C3" s="5" t="inlineStr"/>
      <c r="D3" s="5" t="inlineStr"/>
      <c r="E3" s="5" t="inlineStr">
        <is>
          <t>M</t>
        </is>
      </c>
      <c r="F3" s="12">
        <f>IFERROR(VLOOKUP(E3,'1-Setup'!$A$17:$B$21,2,FALSE),"")</f>
        <v/>
      </c>
      <c r="G3" s="12">
        <f>IFERROR(VLOOKUP(E3,'1-Setup'!$A$17:$C$21,3,FALSE),"")</f>
        <v/>
      </c>
      <c r="H3" s="23">
        <f>IFERROR(VLOOKUP(E3,'1-Setup'!$A$17:$D$21,4,FALSE),"")</f>
        <v/>
      </c>
      <c r="I3" s="23">
        <f>IFERROR(VLOOKUP(E3,'1-Setup'!$A$17:$E$21,5,FALSE),"")</f>
        <v/>
      </c>
      <c r="J3" s="23">
        <f>IFERROR(VLOOKUP(E3,'1-Setup'!$A$17:$F$21,6,FALSE),"")</f>
        <v/>
      </c>
      <c r="K3" s="23">
        <f>IFERROR(H3*F3*'1-Setup'!$B$10*0.85,"")</f>
        <v/>
      </c>
      <c r="L3" s="23">
        <f>IFERROR(I3*F3*'1-Setup'!$B$10,"")</f>
        <v/>
      </c>
      <c r="M3" s="23">
        <f>IFERROR(J3*F3*'1-Setup'!$B$10*1.15,"")</f>
        <v/>
      </c>
      <c r="N3" s="5" t="inlineStr"/>
      <c r="O3" s="5" t="inlineStr"/>
    </row>
    <row r="4">
      <c r="A4" s="5" t="inlineStr"/>
      <c r="B4" s="5" t="inlineStr"/>
      <c r="C4" s="5" t="inlineStr"/>
      <c r="D4" s="5" t="inlineStr"/>
      <c r="E4" s="5" t="inlineStr">
        <is>
          <t>M</t>
        </is>
      </c>
      <c r="F4" s="12">
        <f>IFERROR(VLOOKUP(E4,'1-Setup'!$A$17:$B$21,2,FALSE),"")</f>
        <v/>
      </c>
      <c r="G4" s="12">
        <f>IFERROR(VLOOKUP(E4,'1-Setup'!$A$17:$C$21,3,FALSE),"")</f>
        <v/>
      </c>
      <c r="H4" s="23">
        <f>IFERROR(VLOOKUP(E4,'1-Setup'!$A$17:$D$21,4,FALSE),"")</f>
        <v/>
      </c>
      <c r="I4" s="23">
        <f>IFERROR(VLOOKUP(E4,'1-Setup'!$A$17:$E$21,5,FALSE),"")</f>
        <v/>
      </c>
      <c r="J4" s="23">
        <f>IFERROR(VLOOKUP(E4,'1-Setup'!$A$17:$F$21,6,FALSE),"")</f>
        <v/>
      </c>
      <c r="K4" s="23">
        <f>IFERROR(H4*F4*'1-Setup'!$B$10*0.85,"")</f>
        <v/>
      </c>
      <c r="L4" s="23">
        <f>IFERROR(I4*F4*'1-Setup'!$B$10,"")</f>
        <v/>
      </c>
      <c r="M4" s="23">
        <f>IFERROR(J4*F4*'1-Setup'!$B$10*1.15,"")</f>
        <v/>
      </c>
      <c r="N4" s="5" t="inlineStr"/>
      <c r="O4" s="5" t="inlineStr"/>
    </row>
    <row r="5">
      <c r="A5" s="5" t="inlineStr"/>
      <c r="B5" s="5" t="inlineStr"/>
      <c r="C5" s="5" t="inlineStr"/>
      <c r="D5" s="5" t="inlineStr"/>
      <c r="E5" s="5" t="inlineStr">
        <is>
          <t>M</t>
        </is>
      </c>
      <c r="F5" s="12">
        <f>IFERROR(VLOOKUP(E5,'1-Setup'!$A$17:$B$21,2,FALSE),"")</f>
        <v/>
      </c>
      <c r="G5" s="12">
        <f>IFERROR(VLOOKUP(E5,'1-Setup'!$A$17:$C$21,3,FALSE),"")</f>
        <v/>
      </c>
      <c r="H5" s="23">
        <f>IFERROR(VLOOKUP(E5,'1-Setup'!$A$17:$D$21,4,FALSE),"")</f>
        <v/>
      </c>
      <c r="I5" s="23">
        <f>IFERROR(VLOOKUP(E5,'1-Setup'!$A$17:$E$21,5,FALSE),"")</f>
        <v/>
      </c>
      <c r="J5" s="23">
        <f>IFERROR(VLOOKUP(E5,'1-Setup'!$A$17:$F$21,6,FALSE),"")</f>
        <v/>
      </c>
      <c r="K5" s="23">
        <f>IFERROR(H5*F5*'1-Setup'!$B$10*0.85,"")</f>
        <v/>
      </c>
      <c r="L5" s="23">
        <f>IFERROR(I5*F5*'1-Setup'!$B$10,"")</f>
        <v/>
      </c>
      <c r="M5" s="23">
        <f>IFERROR(J5*F5*'1-Setup'!$B$10*1.15,"")</f>
        <v/>
      </c>
      <c r="N5" s="5" t="inlineStr"/>
      <c r="O5" s="5" t="inlineStr"/>
    </row>
    <row r="6">
      <c r="A6" s="5" t="inlineStr"/>
      <c r="B6" s="5" t="inlineStr"/>
      <c r="C6" s="5" t="inlineStr"/>
      <c r="D6" s="5" t="inlineStr"/>
      <c r="E6" s="5" t="inlineStr">
        <is>
          <t>M</t>
        </is>
      </c>
      <c r="F6" s="12">
        <f>IFERROR(VLOOKUP(E6,'1-Setup'!$A$17:$B$21,2,FALSE),"")</f>
        <v/>
      </c>
      <c r="G6" s="12">
        <f>IFERROR(VLOOKUP(E6,'1-Setup'!$A$17:$C$21,3,FALSE),"")</f>
        <v/>
      </c>
      <c r="H6" s="23">
        <f>IFERROR(VLOOKUP(E6,'1-Setup'!$A$17:$D$21,4,FALSE),"")</f>
        <v/>
      </c>
      <c r="I6" s="23">
        <f>IFERROR(VLOOKUP(E6,'1-Setup'!$A$17:$E$21,5,FALSE),"")</f>
        <v/>
      </c>
      <c r="J6" s="23">
        <f>IFERROR(VLOOKUP(E6,'1-Setup'!$A$17:$F$21,6,FALSE),"")</f>
        <v/>
      </c>
      <c r="K6" s="23">
        <f>IFERROR(H6*F6*'1-Setup'!$B$10*0.85,"")</f>
        <v/>
      </c>
      <c r="L6" s="23">
        <f>IFERROR(I6*F6*'1-Setup'!$B$10,"")</f>
        <v/>
      </c>
      <c r="M6" s="23">
        <f>IFERROR(J6*F6*'1-Setup'!$B$10*1.15,"")</f>
        <v/>
      </c>
      <c r="N6" s="5" t="inlineStr"/>
      <c r="O6" s="5" t="inlineStr"/>
    </row>
    <row r="7">
      <c r="A7" s="5" t="inlineStr"/>
      <c r="B7" s="5" t="inlineStr"/>
      <c r="C7" s="5" t="inlineStr"/>
      <c r="D7" s="5" t="inlineStr"/>
      <c r="E7" s="5" t="inlineStr">
        <is>
          <t>M</t>
        </is>
      </c>
      <c r="F7" s="12">
        <f>IFERROR(VLOOKUP(E7,'1-Setup'!$A$17:$B$21,2,FALSE),"")</f>
        <v/>
      </c>
      <c r="G7" s="12">
        <f>IFERROR(VLOOKUP(E7,'1-Setup'!$A$17:$C$21,3,FALSE),"")</f>
        <v/>
      </c>
      <c r="H7" s="23">
        <f>IFERROR(VLOOKUP(E7,'1-Setup'!$A$17:$D$21,4,FALSE),"")</f>
        <v/>
      </c>
      <c r="I7" s="23">
        <f>IFERROR(VLOOKUP(E7,'1-Setup'!$A$17:$E$21,5,FALSE),"")</f>
        <v/>
      </c>
      <c r="J7" s="23">
        <f>IFERROR(VLOOKUP(E7,'1-Setup'!$A$17:$F$21,6,FALSE),"")</f>
        <v/>
      </c>
      <c r="K7" s="23">
        <f>IFERROR(H7*F7*'1-Setup'!$B$10*0.85,"")</f>
        <v/>
      </c>
      <c r="L7" s="23">
        <f>IFERROR(I7*F7*'1-Setup'!$B$10,"")</f>
        <v/>
      </c>
      <c r="M7" s="23">
        <f>IFERROR(J7*F7*'1-Setup'!$B$10*1.15,"")</f>
        <v/>
      </c>
      <c r="N7" s="5" t="inlineStr"/>
      <c r="O7" s="5" t="inlineStr"/>
    </row>
    <row r="8">
      <c r="A8" s="5" t="inlineStr"/>
      <c r="B8" s="5" t="inlineStr"/>
      <c r="C8" s="5" t="inlineStr"/>
      <c r="D8" s="5" t="inlineStr"/>
      <c r="E8" s="5" t="inlineStr">
        <is>
          <t>M</t>
        </is>
      </c>
      <c r="F8" s="12">
        <f>IFERROR(VLOOKUP(E8,'1-Setup'!$A$17:$B$21,2,FALSE),"")</f>
        <v/>
      </c>
      <c r="G8" s="12">
        <f>IFERROR(VLOOKUP(E8,'1-Setup'!$A$17:$C$21,3,FALSE),"")</f>
        <v/>
      </c>
      <c r="H8" s="23">
        <f>IFERROR(VLOOKUP(E8,'1-Setup'!$A$17:$D$21,4,FALSE),"")</f>
        <v/>
      </c>
      <c r="I8" s="23">
        <f>IFERROR(VLOOKUP(E8,'1-Setup'!$A$17:$E$21,5,FALSE),"")</f>
        <v/>
      </c>
      <c r="J8" s="23">
        <f>IFERROR(VLOOKUP(E8,'1-Setup'!$A$17:$F$21,6,FALSE),"")</f>
        <v/>
      </c>
      <c r="K8" s="23">
        <f>IFERROR(H8*F8*'1-Setup'!$B$10*0.85,"")</f>
        <v/>
      </c>
      <c r="L8" s="23">
        <f>IFERROR(I8*F8*'1-Setup'!$B$10,"")</f>
        <v/>
      </c>
      <c r="M8" s="23">
        <f>IFERROR(J8*F8*'1-Setup'!$B$10*1.15,"")</f>
        <v/>
      </c>
      <c r="N8" s="5" t="inlineStr"/>
      <c r="O8" s="5" t="inlineStr"/>
    </row>
    <row r="9">
      <c r="A9" s="5" t="inlineStr"/>
      <c r="B9" s="5" t="inlineStr"/>
      <c r="C9" s="5" t="inlineStr"/>
      <c r="D9" s="5" t="inlineStr"/>
      <c r="E9" s="5" t="inlineStr">
        <is>
          <t>M</t>
        </is>
      </c>
      <c r="F9" s="12">
        <f>IFERROR(VLOOKUP(E9,'1-Setup'!$A$17:$B$21,2,FALSE),"")</f>
        <v/>
      </c>
      <c r="G9" s="12">
        <f>IFERROR(VLOOKUP(E9,'1-Setup'!$A$17:$C$21,3,FALSE),"")</f>
        <v/>
      </c>
      <c r="H9" s="23">
        <f>IFERROR(VLOOKUP(E9,'1-Setup'!$A$17:$D$21,4,FALSE),"")</f>
        <v/>
      </c>
      <c r="I9" s="23">
        <f>IFERROR(VLOOKUP(E9,'1-Setup'!$A$17:$E$21,5,FALSE),"")</f>
        <v/>
      </c>
      <c r="J9" s="23">
        <f>IFERROR(VLOOKUP(E9,'1-Setup'!$A$17:$F$21,6,FALSE),"")</f>
        <v/>
      </c>
      <c r="K9" s="23">
        <f>IFERROR(H9*F9*'1-Setup'!$B$10*0.85,"")</f>
        <v/>
      </c>
      <c r="L9" s="23">
        <f>IFERROR(I9*F9*'1-Setup'!$B$10,"")</f>
        <v/>
      </c>
      <c r="M9" s="23">
        <f>IFERROR(J9*F9*'1-Setup'!$B$10*1.15,"")</f>
        <v/>
      </c>
      <c r="N9" s="5" t="inlineStr"/>
      <c r="O9" s="5" t="inlineStr"/>
    </row>
    <row r="10">
      <c r="A10" s="5" t="inlineStr"/>
      <c r="B10" s="5" t="inlineStr"/>
      <c r="C10" s="5" t="inlineStr"/>
      <c r="D10" s="5" t="inlineStr"/>
      <c r="E10" s="5" t="inlineStr">
        <is>
          <t>M</t>
        </is>
      </c>
      <c r="F10" s="12">
        <f>IFERROR(VLOOKUP(E10,'1-Setup'!$A$17:$B$21,2,FALSE),"")</f>
        <v/>
      </c>
      <c r="G10" s="12">
        <f>IFERROR(VLOOKUP(E10,'1-Setup'!$A$17:$C$21,3,FALSE),"")</f>
        <v/>
      </c>
      <c r="H10" s="23">
        <f>IFERROR(VLOOKUP(E10,'1-Setup'!$A$17:$D$21,4,FALSE),"")</f>
        <v/>
      </c>
      <c r="I10" s="23">
        <f>IFERROR(VLOOKUP(E10,'1-Setup'!$A$17:$E$21,5,FALSE),"")</f>
        <v/>
      </c>
      <c r="J10" s="23">
        <f>IFERROR(VLOOKUP(E10,'1-Setup'!$A$17:$F$21,6,FALSE),"")</f>
        <v/>
      </c>
      <c r="K10" s="23">
        <f>IFERROR(H10*F10*'1-Setup'!$B$10*0.85,"")</f>
        <v/>
      </c>
      <c r="L10" s="23">
        <f>IFERROR(I10*F10*'1-Setup'!$B$10,"")</f>
        <v/>
      </c>
      <c r="M10" s="23">
        <f>IFERROR(J10*F10*'1-Setup'!$B$10*1.15,"")</f>
        <v/>
      </c>
      <c r="N10" s="5" t="inlineStr"/>
      <c r="O10" s="5" t="inlineStr"/>
    </row>
    <row r="11">
      <c r="A11" s="5" t="inlineStr"/>
      <c r="B11" s="5" t="inlineStr"/>
      <c r="C11" s="5" t="inlineStr"/>
      <c r="D11" s="5" t="inlineStr"/>
      <c r="E11" s="5" t="inlineStr">
        <is>
          <t>M</t>
        </is>
      </c>
      <c r="F11" s="12">
        <f>IFERROR(VLOOKUP(E11,'1-Setup'!$A$17:$B$21,2,FALSE),"")</f>
        <v/>
      </c>
      <c r="G11" s="12">
        <f>IFERROR(VLOOKUP(E11,'1-Setup'!$A$17:$C$21,3,FALSE),"")</f>
        <v/>
      </c>
      <c r="H11" s="23">
        <f>IFERROR(VLOOKUP(E11,'1-Setup'!$A$17:$D$21,4,FALSE),"")</f>
        <v/>
      </c>
      <c r="I11" s="23">
        <f>IFERROR(VLOOKUP(E11,'1-Setup'!$A$17:$E$21,5,FALSE),"")</f>
        <v/>
      </c>
      <c r="J11" s="23">
        <f>IFERROR(VLOOKUP(E11,'1-Setup'!$A$17:$F$21,6,FALSE),"")</f>
        <v/>
      </c>
      <c r="K11" s="23">
        <f>IFERROR(H11*F11*'1-Setup'!$B$10*0.85,"")</f>
        <v/>
      </c>
      <c r="L11" s="23">
        <f>IFERROR(I11*F11*'1-Setup'!$B$10,"")</f>
        <v/>
      </c>
      <c r="M11" s="23">
        <f>IFERROR(J11*F11*'1-Setup'!$B$10*1.15,"")</f>
        <v/>
      </c>
      <c r="N11" s="5" t="inlineStr"/>
      <c r="O11" s="5" t="inlineStr"/>
    </row>
    <row r="12">
      <c r="A12" s="5" t="inlineStr"/>
      <c r="B12" s="5" t="inlineStr"/>
      <c r="C12" s="5" t="inlineStr"/>
      <c r="D12" s="5" t="inlineStr"/>
      <c r="E12" s="5" t="inlineStr">
        <is>
          <t>M</t>
        </is>
      </c>
      <c r="F12" s="12">
        <f>IFERROR(VLOOKUP(E12,'1-Setup'!$A$17:$B$21,2,FALSE),"")</f>
        <v/>
      </c>
      <c r="G12" s="12">
        <f>IFERROR(VLOOKUP(E12,'1-Setup'!$A$17:$C$21,3,FALSE),"")</f>
        <v/>
      </c>
      <c r="H12" s="23">
        <f>IFERROR(VLOOKUP(E12,'1-Setup'!$A$17:$D$21,4,FALSE),"")</f>
        <v/>
      </c>
      <c r="I12" s="23">
        <f>IFERROR(VLOOKUP(E12,'1-Setup'!$A$17:$E$21,5,FALSE),"")</f>
        <v/>
      </c>
      <c r="J12" s="23">
        <f>IFERROR(VLOOKUP(E12,'1-Setup'!$A$17:$F$21,6,FALSE),"")</f>
        <v/>
      </c>
      <c r="K12" s="23">
        <f>IFERROR(H12*F12*'1-Setup'!$B$10*0.85,"")</f>
        <v/>
      </c>
      <c r="L12" s="23">
        <f>IFERROR(I12*F12*'1-Setup'!$B$10,"")</f>
        <v/>
      </c>
      <c r="M12" s="23">
        <f>IFERROR(J12*F12*'1-Setup'!$B$10*1.15,"")</f>
        <v/>
      </c>
      <c r="N12" s="5" t="inlineStr"/>
      <c r="O12" s="5" t="inlineStr"/>
    </row>
    <row r="13">
      <c r="A13" s="5" t="inlineStr"/>
      <c r="B13" s="5" t="inlineStr"/>
      <c r="C13" s="5" t="inlineStr"/>
      <c r="D13" s="5" t="inlineStr"/>
      <c r="E13" s="5" t="inlineStr">
        <is>
          <t>M</t>
        </is>
      </c>
      <c r="F13" s="12">
        <f>IFERROR(VLOOKUP(E13,'1-Setup'!$A$17:$B$21,2,FALSE),"")</f>
        <v/>
      </c>
      <c r="G13" s="12">
        <f>IFERROR(VLOOKUP(E13,'1-Setup'!$A$17:$C$21,3,FALSE),"")</f>
        <v/>
      </c>
      <c r="H13" s="23">
        <f>IFERROR(VLOOKUP(E13,'1-Setup'!$A$17:$D$21,4,FALSE),"")</f>
        <v/>
      </c>
      <c r="I13" s="23">
        <f>IFERROR(VLOOKUP(E13,'1-Setup'!$A$17:$E$21,5,FALSE),"")</f>
        <v/>
      </c>
      <c r="J13" s="23">
        <f>IFERROR(VLOOKUP(E13,'1-Setup'!$A$17:$F$21,6,FALSE),"")</f>
        <v/>
      </c>
      <c r="K13" s="23">
        <f>IFERROR(H13*F13*'1-Setup'!$B$10*0.85,"")</f>
        <v/>
      </c>
      <c r="L13" s="23">
        <f>IFERROR(I13*F13*'1-Setup'!$B$10,"")</f>
        <v/>
      </c>
      <c r="M13" s="23">
        <f>IFERROR(J13*F13*'1-Setup'!$B$10*1.15,"")</f>
        <v/>
      </c>
      <c r="N13" s="5" t="inlineStr"/>
      <c r="O13" s="5" t="inlineStr"/>
    </row>
    <row r="14">
      <c r="A14" s="5" t="inlineStr"/>
      <c r="B14" s="5" t="inlineStr"/>
      <c r="C14" s="5" t="inlineStr"/>
      <c r="D14" s="5" t="inlineStr"/>
      <c r="E14" s="5" t="inlineStr">
        <is>
          <t>M</t>
        </is>
      </c>
      <c r="F14" s="12">
        <f>IFERROR(VLOOKUP(E14,'1-Setup'!$A$17:$B$21,2,FALSE),"")</f>
        <v/>
      </c>
      <c r="G14" s="12">
        <f>IFERROR(VLOOKUP(E14,'1-Setup'!$A$17:$C$21,3,FALSE),"")</f>
        <v/>
      </c>
      <c r="H14" s="23">
        <f>IFERROR(VLOOKUP(E14,'1-Setup'!$A$17:$D$21,4,FALSE),"")</f>
        <v/>
      </c>
      <c r="I14" s="23">
        <f>IFERROR(VLOOKUP(E14,'1-Setup'!$A$17:$E$21,5,FALSE),"")</f>
        <v/>
      </c>
      <c r="J14" s="23">
        <f>IFERROR(VLOOKUP(E14,'1-Setup'!$A$17:$F$21,6,FALSE),"")</f>
        <v/>
      </c>
      <c r="K14" s="23">
        <f>IFERROR(H14*F14*'1-Setup'!$B$10*0.85,"")</f>
        <v/>
      </c>
      <c r="L14" s="23">
        <f>IFERROR(I14*F14*'1-Setup'!$B$10,"")</f>
        <v/>
      </c>
      <c r="M14" s="23">
        <f>IFERROR(J14*F14*'1-Setup'!$B$10*1.15,"")</f>
        <v/>
      </c>
      <c r="N14" s="5" t="inlineStr"/>
      <c r="O14" s="5" t="inlineStr"/>
    </row>
    <row r="15">
      <c r="A15" s="5" t="inlineStr"/>
      <c r="B15" s="5" t="inlineStr"/>
      <c r="C15" s="5" t="inlineStr"/>
      <c r="D15" s="5" t="inlineStr"/>
      <c r="E15" s="5" t="inlineStr">
        <is>
          <t>M</t>
        </is>
      </c>
      <c r="F15" s="12">
        <f>IFERROR(VLOOKUP(E15,'1-Setup'!$A$17:$B$21,2,FALSE),"")</f>
        <v/>
      </c>
      <c r="G15" s="12">
        <f>IFERROR(VLOOKUP(E15,'1-Setup'!$A$17:$C$21,3,FALSE),"")</f>
        <v/>
      </c>
      <c r="H15" s="23">
        <f>IFERROR(VLOOKUP(E15,'1-Setup'!$A$17:$D$21,4,FALSE),"")</f>
        <v/>
      </c>
      <c r="I15" s="23">
        <f>IFERROR(VLOOKUP(E15,'1-Setup'!$A$17:$E$21,5,FALSE),"")</f>
        <v/>
      </c>
      <c r="J15" s="23">
        <f>IFERROR(VLOOKUP(E15,'1-Setup'!$A$17:$F$21,6,FALSE),"")</f>
        <v/>
      </c>
      <c r="K15" s="23">
        <f>IFERROR(H15*F15*'1-Setup'!$B$10*0.85,"")</f>
        <v/>
      </c>
      <c r="L15" s="23">
        <f>IFERROR(I15*F15*'1-Setup'!$B$10,"")</f>
        <v/>
      </c>
      <c r="M15" s="23">
        <f>IFERROR(J15*F15*'1-Setup'!$B$10*1.15,"")</f>
        <v/>
      </c>
      <c r="N15" s="5" t="inlineStr"/>
      <c r="O15" s="5" t="inlineStr"/>
    </row>
    <row r="16">
      <c r="A16" s="5" t="inlineStr"/>
      <c r="B16" s="5" t="inlineStr"/>
      <c r="C16" s="5" t="inlineStr"/>
      <c r="D16" s="5" t="inlineStr"/>
      <c r="E16" s="5" t="inlineStr">
        <is>
          <t>M</t>
        </is>
      </c>
      <c r="F16" s="12">
        <f>IFERROR(VLOOKUP(E16,'1-Setup'!$A$17:$B$21,2,FALSE),"")</f>
        <v/>
      </c>
      <c r="G16" s="12">
        <f>IFERROR(VLOOKUP(E16,'1-Setup'!$A$17:$C$21,3,FALSE),"")</f>
        <v/>
      </c>
      <c r="H16" s="23">
        <f>IFERROR(VLOOKUP(E16,'1-Setup'!$A$17:$D$21,4,FALSE),"")</f>
        <v/>
      </c>
      <c r="I16" s="23">
        <f>IFERROR(VLOOKUP(E16,'1-Setup'!$A$17:$E$21,5,FALSE),"")</f>
        <v/>
      </c>
      <c r="J16" s="23">
        <f>IFERROR(VLOOKUP(E16,'1-Setup'!$A$17:$F$21,6,FALSE),"")</f>
        <v/>
      </c>
      <c r="K16" s="23">
        <f>IFERROR(H16*F16*'1-Setup'!$B$10*0.85,"")</f>
        <v/>
      </c>
      <c r="L16" s="23">
        <f>IFERROR(I16*F16*'1-Setup'!$B$10,"")</f>
        <v/>
      </c>
      <c r="M16" s="23">
        <f>IFERROR(J16*F16*'1-Setup'!$B$10*1.15,"")</f>
        <v/>
      </c>
      <c r="N16" s="5" t="inlineStr"/>
      <c r="O16" s="5" t="inlineStr"/>
    </row>
    <row r="17">
      <c r="A17" s="5" t="inlineStr"/>
      <c r="B17" s="5" t="inlineStr"/>
      <c r="C17" s="5" t="inlineStr"/>
      <c r="D17" s="5" t="inlineStr"/>
      <c r="E17" s="5" t="inlineStr">
        <is>
          <t>M</t>
        </is>
      </c>
      <c r="F17" s="12">
        <f>IFERROR(VLOOKUP(E17,'1-Setup'!$A$17:$B$21,2,FALSE),"")</f>
        <v/>
      </c>
      <c r="G17" s="12">
        <f>IFERROR(VLOOKUP(E17,'1-Setup'!$A$17:$C$21,3,FALSE),"")</f>
        <v/>
      </c>
      <c r="H17" s="23">
        <f>IFERROR(VLOOKUP(E17,'1-Setup'!$A$17:$D$21,4,FALSE),"")</f>
        <v/>
      </c>
      <c r="I17" s="23">
        <f>IFERROR(VLOOKUP(E17,'1-Setup'!$A$17:$E$21,5,FALSE),"")</f>
        <v/>
      </c>
      <c r="J17" s="23">
        <f>IFERROR(VLOOKUP(E17,'1-Setup'!$A$17:$F$21,6,FALSE),"")</f>
        <v/>
      </c>
      <c r="K17" s="23">
        <f>IFERROR(H17*F17*'1-Setup'!$B$10*0.85,"")</f>
        <v/>
      </c>
      <c r="L17" s="23">
        <f>IFERROR(I17*F17*'1-Setup'!$B$10,"")</f>
        <v/>
      </c>
      <c r="M17" s="23">
        <f>IFERROR(J17*F17*'1-Setup'!$B$10*1.15,"")</f>
        <v/>
      </c>
      <c r="N17" s="5" t="inlineStr"/>
      <c r="O17" s="5" t="inlineStr"/>
    </row>
    <row r="18">
      <c r="A18" s="5" t="inlineStr"/>
      <c r="B18" s="5" t="inlineStr"/>
      <c r="C18" s="5" t="inlineStr"/>
      <c r="D18" s="5" t="inlineStr"/>
      <c r="E18" s="5" t="inlineStr">
        <is>
          <t>M</t>
        </is>
      </c>
      <c r="F18" s="12">
        <f>IFERROR(VLOOKUP(E18,'1-Setup'!$A$17:$B$21,2,FALSE),"")</f>
        <v/>
      </c>
      <c r="G18" s="12">
        <f>IFERROR(VLOOKUP(E18,'1-Setup'!$A$17:$C$21,3,FALSE),"")</f>
        <v/>
      </c>
      <c r="H18" s="23">
        <f>IFERROR(VLOOKUP(E18,'1-Setup'!$A$17:$D$21,4,FALSE),"")</f>
        <v/>
      </c>
      <c r="I18" s="23">
        <f>IFERROR(VLOOKUP(E18,'1-Setup'!$A$17:$E$21,5,FALSE),"")</f>
        <v/>
      </c>
      <c r="J18" s="23">
        <f>IFERROR(VLOOKUP(E18,'1-Setup'!$A$17:$F$21,6,FALSE),"")</f>
        <v/>
      </c>
      <c r="K18" s="23">
        <f>IFERROR(H18*F18*'1-Setup'!$B$10*0.85,"")</f>
        <v/>
      </c>
      <c r="L18" s="23">
        <f>IFERROR(I18*F18*'1-Setup'!$B$10,"")</f>
        <v/>
      </c>
      <c r="M18" s="23">
        <f>IFERROR(J18*F18*'1-Setup'!$B$10*1.15,"")</f>
        <v/>
      </c>
      <c r="N18" s="5" t="inlineStr"/>
      <c r="O18" s="5" t="inlineStr"/>
    </row>
    <row r="19">
      <c r="A19" s="5" t="inlineStr"/>
      <c r="B19" s="5" t="inlineStr"/>
      <c r="C19" s="5" t="inlineStr"/>
      <c r="D19" s="5" t="inlineStr"/>
      <c r="E19" s="5" t="inlineStr">
        <is>
          <t>M</t>
        </is>
      </c>
      <c r="F19" s="12">
        <f>IFERROR(VLOOKUP(E19,'1-Setup'!$A$17:$B$21,2,FALSE),"")</f>
        <v/>
      </c>
      <c r="G19" s="12">
        <f>IFERROR(VLOOKUP(E19,'1-Setup'!$A$17:$C$21,3,FALSE),"")</f>
        <v/>
      </c>
      <c r="H19" s="23">
        <f>IFERROR(VLOOKUP(E19,'1-Setup'!$A$17:$D$21,4,FALSE),"")</f>
        <v/>
      </c>
      <c r="I19" s="23">
        <f>IFERROR(VLOOKUP(E19,'1-Setup'!$A$17:$E$21,5,FALSE),"")</f>
        <v/>
      </c>
      <c r="J19" s="23">
        <f>IFERROR(VLOOKUP(E19,'1-Setup'!$A$17:$F$21,6,FALSE),"")</f>
        <v/>
      </c>
      <c r="K19" s="23">
        <f>IFERROR(H19*F19*'1-Setup'!$B$10*0.85,"")</f>
        <v/>
      </c>
      <c r="L19" s="23">
        <f>IFERROR(I19*F19*'1-Setup'!$B$10,"")</f>
        <v/>
      </c>
      <c r="M19" s="23">
        <f>IFERROR(J19*F19*'1-Setup'!$B$10*1.15,"")</f>
        <v/>
      </c>
      <c r="N19" s="5" t="inlineStr"/>
      <c r="O19" s="5" t="inlineStr"/>
    </row>
    <row r="20">
      <c r="A20" s="5" t="inlineStr"/>
      <c r="B20" s="5" t="inlineStr"/>
      <c r="C20" s="5" t="inlineStr"/>
      <c r="D20" s="5" t="inlineStr"/>
      <c r="E20" s="5" t="inlineStr">
        <is>
          <t>M</t>
        </is>
      </c>
      <c r="F20" s="12">
        <f>IFERROR(VLOOKUP(E20,'1-Setup'!$A$17:$B$21,2,FALSE),"")</f>
        <v/>
      </c>
      <c r="G20" s="12">
        <f>IFERROR(VLOOKUP(E20,'1-Setup'!$A$17:$C$21,3,FALSE),"")</f>
        <v/>
      </c>
      <c r="H20" s="23">
        <f>IFERROR(VLOOKUP(E20,'1-Setup'!$A$17:$D$21,4,FALSE),"")</f>
        <v/>
      </c>
      <c r="I20" s="23">
        <f>IFERROR(VLOOKUP(E20,'1-Setup'!$A$17:$E$21,5,FALSE),"")</f>
        <v/>
      </c>
      <c r="J20" s="23">
        <f>IFERROR(VLOOKUP(E20,'1-Setup'!$A$17:$F$21,6,FALSE),"")</f>
        <v/>
      </c>
      <c r="K20" s="23">
        <f>IFERROR(H20*F20*'1-Setup'!$B$10*0.85,"")</f>
        <v/>
      </c>
      <c r="L20" s="23">
        <f>IFERROR(I20*F20*'1-Setup'!$B$10,"")</f>
        <v/>
      </c>
      <c r="M20" s="23">
        <f>IFERROR(J20*F20*'1-Setup'!$B$10*1.15,"")</f>
        <v/>
      </c>
      <c r="N20" s="5" t="inlineStr"/>
      <c r="O20" s="5" t="inlineStr"/>
    </row>
    <row r="21">
      <c r="A21" s="5" t="inlineStr"/>
      <c r="B21" s="5" t="inlineStr"/>
      <c r="C21" s="5" t="inlineStr"/>
      <c r="D21" s="5" t="inlineStr"/>
      <c r="E21" s="5" t="inlineStr">
        <is>
          <t>M</t>
        </is>
      </c>
      <c r="F21" s="12">
        <f>IFERROR(VLOOKUP(E21,'1-Setup'!$A$17:$B$21,2,FALSE),"")</f>
        <v/>
      </c>
      <c r="G21" s="12">
        <f>IFERROR(VLOOKUP(E21,'1-Setup'!$A$17:$C$21,3,FALSE),"")</f>
        <v/>
      </c>
      <c r="H21" s="23">
        <f>IFERROR(VLOOKUP(E21,'1-Setup'!$A$17:$D$21,4,FALSE),"")</f>
        <v/>
      </c>
      <c r="I21" s="23">
        <f>IFERROR(VLOOKUP(E21,'1-Setup'!$A$17:$E$21,5,FALSE),"")</f>
        <v/>
      </c>
      <c r="J21" s="23">
        <f>IFERROR(VLOOKUP(E21,'1-Setup'!$A$17:$F$21,6,FALSE),"")</f>
        <v/>
      </c>
      <c r="K21" s="23">
        <f>IFERROR(H21*F21*'1-Setup'!$B$10*0.85,"")</f>
        <v/>
      </c>
      <c r="L21" s="23">
        <f>IFERROR(I21*F21*'1-Setup'!$B$10,"")</f>
        <v/>
      </c>
      <c r="M21" s="23">
        <f>IFERROR(J21*F21*'1-Setup'!$B$10*1.15,"")</f>
        <v/>
      </c>
      <c r="N21" s="5" t="inlineStr"/>
      <c r="O21" s="5" t="inlineStr"/>
    </row>
    <row r="22">
      <c r="A22" s="5" t="inlineStr"/>
      <c r="B22" s="5" t="inlineStr"/>
      <c r="C22" s="5" t="inlineStr"/>
      <c r="D22" s="5" t="inlineStr"/>
      <c r="E22" s="5" t="inlineStr">
        <is>
          <t>M</t>
        </is>
      </c>
      <c r="F22" s="12">
        <f>IFERROR(VLOOKUP(E22,'1-Setup'!$A$17:$B$21,2,FALSE),"")</f>
        <v/>
      </c>
      <c r="G22" s="12">
        <f>IFERROR(VLOOKUP(E22,'1-Setup'!$A$17:$C$21,3,FALSE),"")</f>
        <v/>
      </c>
      <c r="H22" s="23">
        <f>IFERROR(VLOOKUP(E22,'1-Setup'!$A$17:$D$21,4,FALSE),"")</f>
        <v/>
      </c>
      <c r="I22" s="23">
        <f>IFERROR(VLOOKUP(E22,'1-Setup'!$A$17:$E$21,5,FALSE),"")</f>
        <v/>
      </c>
      <c r="J22" s="23">
        <f>IFERROR(VLOOKUP(E22,'1-Setup'!$A$17:$F$21,6,FALSE),"")</f>
        <v/>
      </c>
      <c r="K22" s="23">
        <f>IFERROR(H22*F22*'1-Setup'!$B$10*0.85,"")</f>
        <v/>
      </c>
      <c r="L22" s="23">
        <f>IFERROR(I22*F22*'1-Setup'!$B$10,"")</f>
        <v/>
      </c>
      <c r="M22" s="23">
        <f>IFERROR(J22*F22*'1-Setup'!$B$10*1.15,"")</f>
        <v/>
      </c>
      <c r="N22" s="5" t="inlineStr"/>
      <c r="O22" s="5" t="inlineStr"/>
    </row>
    <row r="23">
      <c r="A23" s="5" t="inlineStr"/>
      <c r="B23" s="5" t="inlineStr"/>
      <c r="C23" s="5" t="inlineStr"/>
      <c r="D23" s="5" t="inlineStr"/>
      <c r="E23" s="5" t="inlineStr">
        <is>
          <t>M</t>
        </is>
      </c>
      <c r="F23" s="12">
        <f>IFERROR(VLOOKUP(E23,'1-Setup'!$A$17:$B$21,2,FALSE),"")</f>
        <v/>
      </c>
      <c r="G23" s="12">
        <f>IFERROR(VLOOKUP(E23,'1-Setup'!$A$17:$C$21,3,FALSE),"")</f>
        <v/>
      </c>
      <c r="H23" s="23">
        <f>IFERROR(VLOOKUP(E23,'1-Setup'!$A$17:$D$21,4,FALSE),"")</f>
        <v/>
      </c>
      <c r="I23" s="23">
        <f>IFERROR(VLOOKUP(E23,'1-Setup'!$A$17:$E$21,5,FALSE),"")</f>
        <v/>
      </c>
      <c r="J23" s="23">
        <f>IFERROR(VLOOKUP(E23,'1-Setup'!$A$17:$F$21,6,FALSE),"")</f>
        <v/>
      </c>
      <c r="K23" s="23">
        <f>IFERROR(H23*F23*'1-Setup'!$B$10*0.85,"")</f>
        <v/>
      </c>
      <c r="L23" s="23">
        <f>IFERROR(I23*F23*'1-Setup'!$B$10,"")</f>
        <v/>
      </c>
      <c r="M23" s="23">
        <f>IFERROR(J23*F23*'1-Setup'!$B$10*1.15,"")</f>
        <v/>
      </c>
      <c r="N23" s="5" t="inlineStr"/>
      <c r="O23" s="5" t="inlineStr"/>
    </row>
    <row r="24">
      <c r="A24" s="5" t="inlineStr"/>
      <c r="B24" s="5" t="inlineStr"/>
      <c r="C24" s="5" t="inlineStr"/>
      <c r="D24" s="5" t="inlineStr"/>
      <c r="E24" s="5" t="inlineStr">
        <is>
          <t>M</t>
        </is>
      </c>
      <c r="F24" s="12">
        <f>IFERROR(VLOOKUP(E24,'1-Setup'!$A$17:$B$21,2,FALSE),"")</f>
        <v/>
      </c>
      <c r="G24" s="12">
        <f>IFERROR(VLOOKUP(E24,'1-Setup'!$A$17:$C$21,3,FALSE),"")</f>
        <v/>
      </c>
      <c r="H24" s="23">
        <f>IFERROR(VLOOKUP(E24,'1-Setup'!$A$17:$D$21,4,FALSE),"")</f>
        <v/>
      </c>
      <c r="I24" s="23">
        <f>IFERROR(VLOOKUP(E24,'1-Setup'!$A$17:$E$21,5,FALSE),"")</f>
        <v/>
      </c>
      <c r="J24" s="23">
        <f>IFERROR(VLOOKUP(E24,'1-Setup'!$A$17:$F$21,6,FALSE),"")</f>
        <v/>
      </c>
      <c r="K24" s="23">
        <f>IFERROR(H24*F24*'1-Setup'!$B$10*0.85,"")</f>
        <v/>
      </c>
      <c r="L24" s="23">
        <f>IFERROR(I24*F24*'1-Setup'!$B$10,"")</f>
        <v/>
      </c>
      <c r="M24" s="23">
        <f>IFERROR(J24*F24*'1-Setup'!$B$10*1.15,"")</f>
        <v/>
      </c>
      <c r="N24" s="5" t="inlineStr"/>
      <c r="O24" s="5" t="inlineStr"/>
    </row>
    <row r="25">
      <c r="A25" s="5" t="inlineStr"/>
      <c r="B25" s="5" t="inlineStr"/>
      <c r="C25" s="5" t="inlineStr"/>
      <c r="D25" s="5" t="inlineStr"/>
      <c r="E25" s="5" t="inlineStr">
        <is>
          <t>M</t>
        </is>
      </c>
      <c r="F25" s="12">
        <f>IFERROR(VLOOKUP(E25,'1-Setup'!$A$17:$B$21,2,FALSE),"")</f>
        <v/>
      </c>
      <c r="G25" s="12">
        <f>IFERROR(VLOOKUP(E25,'1-Setup'!$A$17:$C$21,3,FALSE),"")</f>
        <v/>
      </c>
      <c r="H25" s="23">
        <f>IFERROR(VLOOKUP(E25,'1-Setup'!$A$17:$D$21,4,FALSE),"")</f>
        <v/>
      </c>
      <c r="I25" s="23">
        <f>IFERROR(VLOOKUP(E25,'1-Setup'!$A$17:$E$21,5,FALSE),"")</f>
        <v/>
      </c>
      <c r="J25" s="23">
        <f>IFERROR(VLOOKUP(E25,'1-Setup'!$A$17:$F$21,6,FALSE),"")</f>
        <v/>
      </c>
      <c r="K25" s="23">
        <f>IFERROR(H25*F25*'1-Setup'!$B$10*0.85,"")</f>
        <v/>
      </c>
      <c r="L25" s="23">
        <f>IFERROR(I25*F25*'1-Setup'!$B$10,"")</f>
        <v/>
      </c>
      <c r="M25" s="23">
        <f>IFERROR(J25*F25*'1-Setup'!$B$10*1.15,"")</f>
        <v/>
      </c>
      <c r="N25" s="5" t="inlineStr"/>
      <c r="O25" s="5" t="inlineStr"/>
    </row>
    <row r="26">
      <c r="A26" s="5" t="inlineStr"/>
      <c r="B26" s="5" t="inlineStr"/>
      <c r="C26" s="5" t="inlineStr"/>
      <c r="D26" s="5" t="inlineStr"/>
      <c r="E26" s="5" t="inlineStr">
        <is>
          <t>M</t>
        </is>
      </c>
      <c r="F26" s="12">
        <f>IFERROR(VLOOKUP(E26,'1-Setup'!$A$17:$B$21,2,FALSE),"")</f>
        <v/>
      </c>
      <c r="G26" s="12">
        <f>IFERROR(VLOOKUP(E26,'1-Setup'!$A$17:$C$21,3,FALSE),"")</f>
        <v/>
      </c>
      <c r="H26" s="23">
        <f>IFERROR(VLOOKUP(E26,'1-Setup'!$A$17:$D$21,4,FALSE),"")</f>
        <v/>
      </c>
      <c r="I26" s="23">
        <f>IFERROR(VLOOKUP(E26,'1-Setup'!$A$17:$E$21,5,FALSE),"")</f>
        <v/>
      </c>
      <c r="J26" s="23">
        <f>IFERROR(VLOOKUP(E26,'1-Setup'!$A$17:$F$21,6,FALSE),"")</f>
        <v/>
      </c>
      <c r="K26" s="23">
        <f>IFERROR(H26*F26*'1-Setup'!$B$10*0.85,"")</f>
        <v/>
      </c>
      <c r="L26" s="23">
        <f>IFERROR(I26*F26*'1-Setup'!$B$10,"")</f>
        <v/>
      </c>
      <c r="M26" s="23">
        <f>IFERROR(J26*F26*'1-Setup'!$B$10*1.15,"")</f>
        <v/>
      </c>
      <c r="N26" s="5" t="inlineStr"/>
      <c r="O26" s="5" t="inlineStr"/>
    </row>
    <row r="27">
      <c r="A27" s="5" t="inlineStr"/>
      <c r="B27" s="5" t="inlineStr"/>
      <c r="C27" s="5" t="inlineStr"/>
      <c r="D27" s="5" t="inlineStr"/>
      <c r="E27" s="5" t="inlineStr">
        <is>
          <t>M</t>
        </is>
      </c>
      <c r="F27" s="12">
        <f>IFERROR(VLOOKUP(E27,'1-Setup'!$A$17:$B$21,2,FALSE),"")</f>
        <v/>
      </c>
      <c r="G27" s="12">
        <f>IFERROR(VLOOKUP(E27,'1-Setup'!$A$17:$C$21,3,FALSE),"")</f>
        <v/>
      </c>
      <c r="H27" s="23">
        <f>IFERROR(VLOOKUP(E27,'1-Setup'!$A$17:$D$21,4,FALSE),"")</f>
        <v/>
      </c>
      <c r="I27" s="23">
        <f>IFERROR(VLOOKUP(E27,'1-Setup'!$A$17:$E$21,5,FALSE),"")</f>
        <v/>
      </c>
      <c r="J27" s="23">
        <f>IFERROR(VLOOKUP(E27,'1-Setup'!$A$17:$F$21,6,FALSE),"")</f>
        <v/>
      </c>
      <c r="K27" s="23">
        <f>IFERROR(H27*F27*'1-Setup'!$B$10*0.85,"")</f>
        <v/>
      </c>
      <c r="L27" s="23">
        <f>IFERROR(I27*F27*'1-Setup'!$B$10,"")</f>
        <v/>
      </c>
      <c r="M27" s="23">
        <f>IFERROR(J27*F27*'1-Setup'!$B$10*1.15,"")</f>
        <v/>
      </c>
      <c r="N27" s="5" t="inlineStr"/>
      <c r="O27" s="5" t="inlineStr"/>
    </row>
    <row r="28">
      <c r="A28" s="24" t="inlineStr">
        <is>
          <t>TOTALS</t>
        </is>
      </c>
      <c r="F28" s="12">
        <f>SUM(F3:F27)</f>
        <v/>
      </c>
      <c r="G28" s="12">
        <f>SUM(G3:G27)</f>
        <v/>
      </c>
      <c r="K28" s="23">
        <f>SUM(K3:K27)</f>
        <v/>
      </c>
      <c r="L28" s="23">
        <f>SUM(L3:L27)</f>
        <v/>
      </c>
      <c r="M28" s="23">
        <f>SUM(M3:M27)</f>
        <v/>
      </c>
    </row>
    <row r="29">
      <c r="A29" s="25" t="inlineStr">
        <is>
          <t>Total FP (row 28, col G) → copy to '0-Client Quote'!B15 (Feature Delivery FP) to compute AFP.</t>
        </is>
      </c>
    </row>
  </sheetData>
  <mergeCells count="2">
    <mergeCell ref="A1:P1"/>
    <mergeCell ref="A29:P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14" customWidth="1" min="4" max="4"/>
    <col width="14" customWidth="1" min="5" max="5"/>
    <col width="30" customWidth="1" min="6" max="6"/>
    <col width="10" customWidth="1" min="7" max="7"/>
  </cols>
  <sheetData>
    <row r="1" ht="28" customHeight="1">
      <c r="A1" s="1" t="inlineStr">
        <is>
          <t>Environmental Complexity Factors (ECF) — INTERNAL</t>
        </is>
      </c>
    </row>
    <row r="2">
      <c r="A2" s="26" t="inlineStr">
        <is>
          <t>INTERNAL: ECF feeds the internal combined multiplier (token budget). Never shown to client.</t>
        </is>
      </c>
    </row>
    <row r="3">
      <c r="A3" s="9" t="inlineStr">
        <is>
          <t>#</t>
        </is>
      </c>
      <c r="B3" s="9" t="inlineStr">
        <is>
          <t>Factor</t>
        </is>
      </c>
      <c r="C3" s="9" t="inlineStr">
        <is>
          <t>Weight</t>
        </is>
      </c>
      <c r="D3" s="9" t="inlineStr">
        <is>
          <t>Rating (0–5)</t>
        </is>
      </c>
      <c r="E3" s="9" t="inlineStr">
        <is>
          <t>Weighted</t>
        </is>
      </c>
      <c r="F3" s="9" t="inlineStr">
        <is>
          <t>Notes</t>
        </is>
      </c>
      <c r="G3" s="9" t="inlineStr"/>
    </row>
    <row r="4">
      <c r="A4" s="4" t="inlineStr">
        <is>
          <t>E1</t>
        </is>
      </c>
      <c r="B4" s="4" t="inlineStr">
        <is>
          <t>Familiarity with AI model/tooling</t>
        </is>
      </c>
      <c r="C4" s="12" t="n">
        <v>1.5</v>
      </c>
      <c r="D4" s="5" t="n">
        <v>3</v>
      </c>
      <c r="E4" s="11">
        <f>C4*D4</f>
        <v/>
      </c>
      <c r="F4" s="5" t="inlineStr"/>
    </row>
    <row r="5">
      <c r="A5" s="4" t="inlineStr">
        <is>
          <t>E2</t>
        </is>
      </c>
      <c r="B5" s="4" t="inlineStr">
        <is>
          <t>Part-time participation / context switching</t>
        </is>
      </c>
      <c r="C5" s="12" t="n">
        <v>-1</v>
      </c>
      <c r="D5" s="5" t="n">
        <v>3</v>
      </c>
      <c r="E5" s="11">
        <f>C5*D5</f>
        <v/>
      </c>
      <c r="F5" s="5" t="inlineStr"/>
    </row>
    <row r="6">
      <c r="A6" s="4" t="inlineStr">
        <is>
          <t>E3</t>
        </is>
      </c>
      <c r="B6" s="4" t="inlineStr">
        <is>
          <t>Analyst / prompt engineering experience</t>
        </is>
      </c>
      <c r="C6" s="12" t="n">
        <v>0.5</v>
      </c>
      <c r="D6" s="5" t="n">
        <v>3</v>
      </c>
      <c r="E6" s="11">
        <f>C6*D6</f>
        <v/>
      </c>
      <c r="F6" s="5" t="inlineStr"/>
    </row>
    <row r="7">
      <c r="A7" s="4" t="inlineStr">
        <is>
          <t>E4</t>
        </is>
      </c>
      <c r="B7" s="4" t="inlineStr">
        <is>
          <t>Lead developer application experience</t>
        </is>
      </c>
      <c r="C7" s="12" t="n">
        <v>0.5</v>
      </c>
      <c r="D7" s="5" t="n">
        <v>3</v>
      </c>
      <c r="E7" s="11">
        <f>C7*D7</f>
        <v/>
      </c>
      <c r="F7" s="5" t="inlineStr"/>
    </row>
    <row r="8">
      <c r="A8" s="4" t="inlineStr">
        <is>
          <t>E5</t>
        </is>
      </c>
      <c r="B8" s="4" t="inlineStr">
        <is>
          <t>Motivation of team</t>
        </is>
      </c>
      <c r="C8" s="12" t="n">
        <v>1</v>
      </c>
      <c r="D8" s="5" t="n">
        <v>3</v>
      </c>
      <c r="E8" s="11">
        <f>C8*D8</f>
        <v/>
      </c>
      <c r="F8" s="5" t="inlineStr"/>
    </row>
    <row r="9">
      <c r="A9" s="4" t="inlineStr">
        <is>
          <t>E6</t>
        </is>
      </c>
      <c r="B9" s="4" t="inlineStr">
        <is>
          <t>Stability of requirements</t>
        </is>
      </c>
      <c r="C9" s="12" t="n">
        <v>2</v>
      </c>
      <c r="D9" s="5" t="n">
        <v>3</v>
      </c>
      <c r="E9" s="11">
        <f>C9*D9</f>
        <v/>
      </c>
      <c r="F9" s="5" t="inlineStr"/>
    </row>
    <row r="10">
      <c r="A10" s="4" t="inlineStr">
        <is>
          <t>E7</t>
        </is>
      </c>
      <c r="B10" s="4" t="inlineStr">
        <is>
          <t>Part-time users / product owners</t>
        </is>
      </c>
      <c r="C10" s="12" t="n">
        <v>-1</v>
      </c>
      <c r="D10" s="5" t="n">
        <v>3</v>
      </c>
      <c r="E10" s="11">
        <f>C10*D10</f>
        <v/>
      </c>
      <c r="F10" s="5" t="inlineStr"/>
    </row>
    <row r="11">
      <c r="A11" s="4" t="inlineStr">
        <is>
          <t>E8</t>
        </is>
      </c>
      <c r="B11" s="4" t="inlineStr">
        <is>
          <t>Difficulty of stack / language</t>
        </is>
      </c>
      <c r="C11" s="12" t="n">
        <v>-1</v>
      </c>
      <c r="D11" s="5" t="n">
        <v>3</v>
      </c>
      <c r="E11" s="11">
        <f>C11*D11</f>
        <v/>
      </c>
      <c r="F11" s="5" t="inlineStr"/>
    </row>
    <row r="12">
      <c r="A12" s="27" t="inlineStr">
        <is>
          <t>AI-Specific Extension Factors</t>
        </is>
      </c>
    </row>
    <row r="13">
      <c r="A13" s="4" t="inlineStr">
        <is>
          <t>A1</t>
        </is>
      </c>
      <c r="B13" s="4" t="inlineStr">
        <is>
          <t>AI model tier (Opus=5, Sonnet=3, Haiku=1)</t>
        </is>
      </c>
      <c r="C13" s="12" t="n">
        <v>0.8</v>
      </c>
      <c r="D13" s="5" t="n">
        <v>3</v>
      </c>
      <c r="E13" s="11">
        <f>C13*D13</f>
        <v/>
      </c>
      <c r="F13" s="5" t="inlineStr"/>
    </row>
    <row r="14">
      <c r="A14" s="4" t="inlineStr">
        <is>
          <t>A2</t>
        </is>
      </c>
      <c r="B14" s="4" t="inlineStr">
        <is>
          <t>Prompt maturity (mature=5, first use=1)</t>
        </is>
      </c>
      <c r="C14" s="12" t="n">
        <v>0.6</v>
      </c>
      <c r="D14" s="5" t="n">
        <v>3</v>
      </c>
      <c r="E14" s="11">
        <f>C14*D14</f>
        <v/>
      </c>
      <c r="F14" s="5" t="inlineStr"/>
    </row>
    <row r="15">
      <c r="A15" s="4" t="inlineStr">
        <is>
          <t>A3</t>
        </is>
      </c>
      <c r="B15" s="4" t="inlineStr">
        <is>
          <t>Hallucination risk (low risk=5, high risk=1)</t>
        </is>
      </c>
      <c r="C15" s="12" t="n">
        <v>-0.5</v>
      </c>
      <c r="D15" s="5" t="n">
        <v>3</v>
      </c>
      <c r="E15" s="11">
        <f>C15*D15</f>
        <v/>
      </c>
      <c r="F15" s="5" t="inlineStr"/>
    </row>
    <row r="16">
      <c r="A16" s="4" t="inlineStr">
        <is>
          <t>A4</t>
        </is>
      </c>
      <c r="B16" s="4" t="inlineStr">
        <is>
          <t>Context window pressure (large ctx=5, small=1)</t>
        </is>
      </c>
      <c r="C16" s="12" t="n">
        <v>-0.4</v>
      </c>
      <c r="D16" s="5" t="n">
        <v>3</v>
      </c>
      <c r="E16" s="11">
        <f>C16*D16</f>
        <v/>
      </c>
      <c r="F16" s="5" t="inlineStr"/>
    </row>
    <row r="17">
      <c r="A17" s="4" t="inlineStr">
        <is>
          <t>A5</t>
        </is>
      </c>
      <c r="B17" s="4" t="inlineStr">
        <is>
          <t>AI code rework rate (41% baseline = rating 3)</t>
        </is>
      </c>
      <c r="C17" s="12" t="n">
        <v>-0.6</v>
      </c>
      <c r="D17" s="5" t="n">
        <v>3</v>
      </c>
      <c r="E17" s="11">
        <f>C17*D17</f>
        <v/>
      </c>
      <c r="F17" s="5" t="inlineStr"/>
    </row>
    <row r="18">
      <c r="A18" s="28" t="inlineStr">
        <is>
          <t>ECF Base</t>
        </is>
      </c>
      <c r="C18" s="29">
        <f>1.4+(-0.03*SUM(E4:E11))</f>
        <v/>
      </c>
    </row>
    <row r="19">
      <c r="A19" s="28" t="inlineStr">
        <is>
          <t>AI Adjustment</t>
        </is>
      </c>
      <c r="C19" s="29">
        <f>1+(0.05*SUM(E13:E17))</f>
        <v/>
      </c>
    </row>
    <row r="20">
      <c r="A20" s="28" t="inlineStr">
        <is>
          <t>ECF Final = Base × AI Adj</t>
        </is>
      </c>
      <c r="C20" s="30">
        <f>C18*C19</f>
        <v/>
      </c>
    </row>
    <row r="22">
      <c r="A22" s="31" t="inlineStr">
        <is>
          <t>→ ECF Final × TCF Final = Combined Multiplier → paste into '1-Setup'!B10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14" customWidth="1" min="4" max="4"/>
    <col width="14" customWidth="1" min="5" max="5"/>
    <col width="30" customWidth="1" min="6" max="6"/>
  </cols>
  <sheetData>
    <row r="1" ht="28" customHeight="1">
      <c r="A1" s="1" t="inlineStr">
        <is>
          <t>Technical Complexity Factors (TCF) — INTERNAL</t>
        </is>
      </c>
    </row>
    <row r="2">
      <c r="A2" s="26" t="inlineStr">
        <is>
          <t>INTERNAL: TCF feeds the combined multiplier. Client-facing complexity is captured by Stack Factor (Tab 0).</t>
        </is>
      </c>
    </row>
    <row r="3">
      <c r="A3" s="9" t="inlineStr">
        <is>
          <t>#</t>
        </is>
      </c>
      <c r="B3" s="9" t="inlineStr">
        <is>
          <t>Factor</t>
        </is>
      </c>
      <c r="C3" s="9" t="inlineStr">
        <is>
          <t>Weight</t>
        </is>
      </c>
      <c r="D3" s="9" t="inlineStr">
        <is>
          <t>Rating (0–5)</t>
        </is>
      </c>
      <c r="E3" s="9" t="inlineStr">
        <is>
          <t>Weighted</t>
        </is>
      </c>
      <c r="F3" s="9" t="inlineStr">
        <is>
          <t>Notes</t>
        </is>
      </c>
    </row>
    <row r="4">
      <c r="A4" s="4" t="inlineStr">
        <is>
          <t>T1</t>
        </is>
      </c>
      <c r="B4" s="4" t="inlineStr">
        <is>
          <t>Distributed system / microservices</t>
        </is>
      </c>
      <c r="C4" s="12" t="n">
        <v>2</v>
      </c>
      <c r="D4" s="5" t="n">
        <v>3</v>
      </c>
      <c r="E4" s="11">
        <f>C4*D4</f>
        <v/>
      </c>
      <c r="F4" s="5" t="inlineStr"/>
    </row>
    <row r="5">
      <c r="A5" s="4" t="inlineStr">
        <is>
          <t>T2</t>
        </is>
      </c>
      <c r="B5" s="4" t="inlineStr">
        <is>
          <t>Response time / performance requirements</t>
        </is>
      </c>
      <c r="C5" s="12" t="n">
        <v>1</v>
      </c>
      <c r="D5" s="5" t="n">
        <v>3</v>
      </c>
      <c r="E5" s="11">
        <f>C5*D5</f>
        <v/>
      </c>
      <c r="F5" s="5" t="inlineStr"/>
    </row>
    <row r="6">
      <c r="A6" s="4" t="inlineStr">
        <is>
          <t>T3</t>
        </is>
      </c>
      <c r="B6" s="4" t="inlineStr">
        <is>
          <t>End-user efficiency (optimized UX)</t>
        </is>
      </c>
      <c r="C6" s="12" t="n">
        <v>1</v>
      </c>
      <c r="D6" s="5" t="n">
        <v>3</v>
      </c>
      <c r="E6" s="11">
        <f>C6*D6</f>
        <v/>
      </c>
      <c r="F6" s="5" t="inlineStr"/>
    </row>
    <row r="7">
      <c r="A7" s="4" t="inlineStr">
        <is>
          <t>T4</t>
        </is>
      </c>
      <c r="B7" s="4" t="inlineStr">
        <is>
          <t>Complex internal processing / algorithms</t>
        </is>
      </c>
      <c r="C7" s="12" t="n">
        <v>1</v>
      </c>
      <c r="D7" s="5" t="n">
        <v>3</v>
      </c>
      <c r="E7" s="11">
        <f>C7*D7</f>
        <v/>
      </c>
      <c r="F7" s="5" t="inlineStr"/>
    </row>
    <row r="8">
      <c r="A8" s="4" t="inlineStr">
        <is>
          <t>T5</t>
        </is>
      </c>
      <c r="B8" s="4" t="inlineStr">
        <is>
          <t>Code reusability requirement</t>
        </is>
      </c>
      <c r="C8" s="12" t="n">
        <v>1</v>
      </c>
      <c r="D8" s="5" t="n">
        <v>3</v>
      </c>
      <c r="E8" s="11">
        <f>C8*D8</f>
        <v/>
      </c>
      <c r="F8" s="5" t="inlineStr"/>
    </row>
    <row r="9">
      <c r="A9" s="4" t="inlineStr">
        <is>
          <t>T6</t>
        </is>
      </c>
      <c r="B9" s="4" t="inlineStr">
        <is>
          <t>Easy to install / deploy</t>
        </is>
      </c>
      <c r="C9" s="12" t="n">
        <v>0.5</v>
      </c>
      <c r="D9" s="5" t="n">
        <v>3</v>
      </c>
      <c r="E9" s="11">
        <f>C9*D9</f>
        <v/>
      </c>
      <c r="F9" s="5" t="inlineStr"/>
    </row>
    <row r="10">
      <c r="A10" s="4" t="inlineStr">
        <is>
          <t>T7</t>
        </is>
      </c>
      <c r="B10" s="4" t="inlineStr">
        <is>
          <t>Easy to use (usability target)</t>
        </is>
      </c>
      <c r="C10" s="12" t="n">
        <v>0.5</v>
      </c>
      <c r="D10" s="5" t="n">
        <v>3</v>
      </c>
      <c r="E10" s="11">
        <f>C10*D10</f>
        <v/>
      </c>
      <c r="F10" s="5" t="inlineStr"/>
    </row>
    <row r="11">
      <c r="A11" s="4" t="inlineStr">
        <is>
          <t>T8</t>
        </is>
      </c>
      <c r="B11" s="4" t="inlineStr">
        <is>
          <t>Portability across platforms</t>
        </is>
      </c>
      <c r="C11" s="12" t="n">
        <v>2</v>
      </c>
      <c r="D11" s="5" t="n">
        <v>3</v>
      </c>
      <c r="E11" s="11">
        <f>C11*D11</f>
        <v/>
      </c>
      <c r="F11" s="5" t="inlineStr"/>
    </row>
    <row r="12">
      <c r="A12" s="4" t="inlineStr">
        <is>
          <t>T9</t>
        </is>
      </c>
      <c r="B12" s="4" t="inlineStr">
        <is>
          <t>Maintainability / easy to change</t>
        </is>
      </c>
      <c r="C12" s="12" t="n">
        <v>1</v>
      </c>
      <c r="D12" s="5" t="n">
        <v>3</v>
      </c>
      <c r="E12" s="11">
        <f>C12*D12</f>
        <v/>
      </c>
      <c r="F12" s="5" t="inlineStr"/>
    </row>
    <row r="13">
      <c r="A13" s="4" t="inlineStr">
        <is>
          <t>T10</t>
        </is>
      </c>
      <c r="B13" s="4" t="inlineStr">
        <is>
          <t>Concurrent use / multi-user</t>
        </is>
      </c>
      <c r="C13" s="12" t="n">
        <v>1</v>
      </c>
      <c r="D13" s="5" t="n">
        <v>3</v>
      </c>
      <c r="E13" s="11">
        <f>C13*D13</f>
        <v/>
      </c>
      <c r="F13" s="5" t="inlineStr"/>
    </row>
    <row r="14">
      <c r="A14" s="4" t="inlineStr">
        <is>
          <t>T11</t>
        </is>
      </c>
      <c r="B14" s="4" t="inlineStr">
        <is>
          <t>Security features</t>
        </is>
      </c>
      <c r="C14" s="12" t="n">
        <v>1</v>
      </c>
      <c r="D14" s="5" t="n">
        <v>3</v>
      </c>
      <c r="E14" s="11">
        <f>C14*D14</f>
        <v/>
      </c>
      <c r="F14" s="5" t="inlineStr"/>
    </row>
    <row r="15">
      <c r="A15" s="4" t="inlineStr">
        <is>
          <t>T12</t>
        </is>
      </c>
      <c r="B15" s="4" t="inlineStr">
        <is>
          <t>Third-party API / direct access</t>
        </is>
      </c>
      <c r="C15" s="12" t="n">
        <v>1</v>
      </c>
      <c r="D15" s="5" t="n">
        <v>3</v>
      </c>
      <c r="E15" s="11">
        <f>C15*D15</f>
        <v/>
      </c>
      <c r="F15" s="5" t="inlineStr"/>
    </row>
    <row r="16">
      <c r="A16" s="4" t="inlineStr">
        <is>
          <t>T13</t>
        </is>
      </c>
      <c r="B16" s="4" t="inlineStr">
        <is>
          <t>Special user training required</t>
        </is>
      </c>
      <c r="C16" s="12" t="n">
        <v>1</v>
      </c>
      <c r="D16" s="5" t="n">
        <v>3</v>
      </c>
      <c r="E16" s="11">
        <f>C16*D16</f>
        <v/>
      </c>
      <c r="F16" s="5" t="inlineStr"/>
    </row>
    <row r="17">
      <c r="A17" s="28" t="inlineStr">
        <is>
          <t>TCF Final</t>
        </is>
      </c>
      <c r="C17" s="30">
        <f>0.6+(0.01*SUM(E4:E16))</f>
        <v/>
      </c>
    </row>
    <row r="18">
      <c r="A18" s="28" t="inlineStr">
        <is>
          <t>ECF Final (from ECF tab)</t>
        </is>
      </c>
      <c r="C18" s="29">
        <f>'3-ECF'!C20</f>
        <v/>
      </c>
    </row>
    <row r="19">
      <c r="A19" s="28" t="inlineStr">
        <is>
          <t>Combined Multiplier (ECF × TCF)</t>
        </is>
      </c>
      <c r="C19" s="30">
        <f>C17*C18</f>
        <v/>
      </c>
    </row>
    <row r="20">
      <c r="A20" s="31" t="inlineStr">
        <is>
          <t>→ Copy Combined Multiplier to '1-Setup'!B10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2" customWidth="1" min="13" max="13"/>
    <col width="14" customWidth="1" min="14" max="14"/>
    <col width="28" customWidth="1" min="15" max="15"/>
  </cols>
  <sheetData>
    <row r="1" ht="28" customHeight="1">
      <c r="A1" s="1" t="inlineStr">
        <is>
          <t>Rough Estimates — Token Budget (internal) &amp; AFP Preview (client)</t>
        </is>
      </c>
    </row>
    <row r="2">
      <c r="A2" s="9" t="inlineStr">
        <is>
          <t>Sprint #</t>
        </is>
      </c>
      <c r="B2" s="9" t="inlineStr">
        <is>
          <t>Scenarios</t>
        </is>
      </c>
      <c r="C2" s="9" t="inlineStr">
        <is>
          <t>SP Total</t>
        </is>
      </c>
      <c r="D2" s="9" t="inlineStr">
        <is>
          <t>FP Total</t>
        </is>
      </c>
      <c r="E2" s="9" t="inlineStr">
        <is>
          <t>Tokens Min (K)</t>
        </is>
      </c>
      <c r="F2" s="9" t="inlineStr">
        <is>
          <t>Tokens Exp (K)</t>
        </is>
      </c>
      <c r="G2" s="9" t="inlineStr">
        <is>
          <t>Tokens Max (K)</t>
        </is>
      </c>
      <c r="H2" s="9" t="inlineStr">
        <is>
          <t>Duration Min (d)</t>
        </is>
      </c>
      <c r="I2" s="9" t="inlineStr">
        <is>
          <t>Duration Exp (d)</t>
        </is>
      </c>
      <c r="J2" s="9" t="inlineStr">
        <is>
          <t>Duration Max (d)</t>
        </is>
      </c>
      <c r="K2" s="9" t="inlineStr">
        <is>
          <t>AFP Preview</t>
        </is>
      </c>
      <c r="L2" s="9" t="inlineStr">
        <is>
          <t>AFP $ Preview</t>
        </is>
      </c>
      <c r="M2" s="9" t="inlineStr">
        <is>
          <t>Phase</t>
        </is>
      </c>
      <c r="N2" s="9" t="inlineStr">
        <is>
          <t>Calibration</t>
        </is>
      </c>
      <c r="O2" s="9" t="inlineStr">
        <is>
          <t>Notes</t>
        </is>
      </c>
    </row>
    <row r="3">
      <c r="A3" s="5" t="n">
        <v>1</v>
      </c>
      <c r="B3" s="5" t="inlineStr"/>
      <c r="C3" s="10" t="inlineStr"/>
      <c r="D3" s="10" t="inlineStr"/>
      <c r="E3" s="23">
        <f>IFERROR(C3*VLOOKUP("M",'1-Setup'!$A$17:$D$21,4,FALSE)*'1-Setup'!$B$10*0.85,"")</f>
        <v/>
      </c>
      <c r="F3" s="23">
        <f>IFERROR(C3*VLOOKUP("M",'1-Setup'!$A$17:$E$21,5,FALSE)*'1-Setup'!$B$10,"")</f>
        <v/>
      </c>
      <c r="G3" s="23">
        <f>IFERROR(C3*VLOOKUP("M",'1-Setup'!$A$17:$F$21,6,FALSE)*'1-Setup'!$B$10*1.15,"")</f>
        <v/>
      </c>
      <c r="H3" s="12">
        <f>IFERROR(E3/'1-Setup'!$B$6,"")</f>
        <v/>
      </c>
      <c r="I3" s="12">
        <f>IFERROR(F3/'1-Setup'!$B$6,"")</f>
        <v/>
      </c>
      <c r="J3" s="12">
        <f>IFERROR(G3/'1-Setup'!$B$6,"")</f>
        <v/>
      </c>
      <c r="K3" s="12">
        <f>IFERROR(D3*'0-Client Quote'!$B$7*'0-Client Quote'!$B$8,"")</f>
        <v/>
      </c>
      <c r="L3" s="13">
        <f>IFERROR(K3*'0-Client Quote'!$B$9,"")</f>
        <v/>
      </c>
      <c r="M3" s="5" t="inlineStr">
        <is>
          <t>Approved Concept</t>
        </is>
      </c>
      <c r="N3" s="5" t="inlineStr">
        <is>
          <t>SEED</t>
        </is>
      </c>
      <c r="O3" s="5" t="inlineStr"/>
    </row>
    <row r="4">
      <c r="A4" s="5" t="n">
        <v>2</v>
      </c>
      <c r="B4" s="5" t="inlineStr"/>
      <c r="C4" s="10" t="inlineStr"/>
      <c r="D4" s="10" t="inlineStr"/>
      <c r="E4" s="23">
        <f>IFERROR(C4*VLOOKUP("M",'1-Setup'!$A$17:$D$21,4,FALSE)*'1-Setup'!$B$10*0.85,"")</f>
        <v/>
      </c>
      <c r="F4" s="23">
        <f>IFERROR(C4*VLOOKUP("M",'1-Setup'!$A$17:$E$21,5,FALSE)*'1-Setup'!$B$10,"")</f>
        <v/>
      </c>
      <c r="G4" s="23">
        <f>IFERROR(C4*VLOOKUP("M",'1-Setup'!$A$17:$F$21,6,FALSE)*'1-Setup'!$B$10*1.15,"")</f>
        <v/>
      </c>
      <c r="H4" s="12">
        <f>IFERROR(E4/'1-Setup'!$B$6,"")</f>
        <v/>
      </c>
      <c r="I4" s="12">
        <f>IFERROR(F4/'1-Setup'!$B$6,"")</f>
        <v/>
      </c>
      <c r="J4" s="12">
        <f>IFERROR(G4/'1-Setup'!$B$6,"")</f>
        <v/>
      </c>
      <c r="K4" s="12">
        <f>IFERROR(D4*'0-Client Quote'!$B$7*'0-Client Quote'!$B$8,"")</f>
        <v/>
      </c>
      <c r="L4" s="13">
        <f>IFERROR(K4*'0-Client Quote'!$B$9,"")</f>
        <v/>
      </c>
      <c r="M4" s="5" t="inlineStr">
        <is>
          <t>Approved Concept</t>
        </is>
      </c>
      <c r="N4" s="5" t="inlineStr">
        <is>
          <t>SEED</t>
        </is>
      </c>
      <c r="O4" s="5" t="inlineStr"/>
    </row>
    <row r="5">
      <c r="A5" s="5" t="n">
        <v>3</v>
      </c>
      <c r="B5" s="5" t="inlineStr"/>
      <c r="C5" s="10" t="inlineStr"/>
      <c r="D5" s="10" t="inlineStr"/>
      <c r="E5" s="23">
        <f>IFERROR(C5*VLOOKUP("M",'1-Setup'!$A$17:$D$21,4,FALSE)*'1-Setup'!$B$10*0.85,"")</f>
        <v/>
      </c>
      <c r="F5" s="23">
        <f>IFERROR(C5*VLOOKUP("M",'1-Setup'!$A$17:$E$21,5,FALSE)*'1-Setup'!$B$10,"")</f>
        <v/>
      </c>
      <c r="G5" s="23">
        <f>IFERROR(C5*VLOOKUP("M",'1-Setup'!$A$17:$F$21,6,FALSE)*'1-Setup'!$B$10*1.15,"")</f>
        <v/>
      </c>
      <c r="H5" s="12">
        <f>IFERROR(E5/'1-Setup'!$B$6,"")</f>
        <v/>
      </c>
      <c r="I5" s="12">
        <f>IFERROR(F5/'1-Setup'!$B$6,"")</f>
        <v/>
      </c>
      <c r="J5" s="12">
        <f>IFERROR(G5/'1-Setup'!$B$6,"")</f>
        <v/>
      </c>
      <c r="K5" s="12">
        <f>IFERROR(D5*'0-Client Quote'!$B$7*'0-Client Quote'!$B$8,"")</f>
        <v/>
      </c>
      <c r="L5" s="13">
        <f>IFERROR(K5*'0-Client Quote'!$B$9,"")</f>
        <v/>
      </c>
      <c r="M5" s="5" t="inlineStr">
        <is>
          <t>Approved Concept</t>
        </is>
      </c>
      <c r="N5" s="5" t="inlineStr">
        <is>
          <t>SEED</t>
        </is>
      </c>
      <c r="O5" s="5" t="inlineStr"/>
    </row>
    <row r="6">
      <c r="A6" s="5" t="n">
        <v>4</v>
      </c>
      <c r="B6" s="5" t="inlineStr"/>
      <c r="C6" s="10" t="inlineStr"/>
      <c r="D6" s="10" t="inlineStr"/>
      <c r="E6" s="23">
        <f>IFERROR(C6*VLOOKUP("M",'1-Setup'!$A$17:$D$21,4,FALSE)*'1-Setup'!$B$10*0.85,"")</f>
        <v/>
      </c>
      <c r="F6" s="23">
        <f>IFERROR(C6*VLOOKUP("M",'1-Setup'!$A$17:$E$21,5,FALSE)*'1-Setup'!$B$10,"")</f>
        <v/>
      </c>
      <c r="G6" s="23">
        <f>IFERROR(C6*VLOOKUP("M",'1-Setup'!$A$17:$F$21,6,FALSE)*'1-Setup'!$B$10*1.15,"")</f>
        <v/>
      </c>
      <c r="H6" s="12">
        <f>IFERROR(E6/'1-Setup'!$B$6,"")</f>
        <v/>
      </c>
      <c r="I6" s="12">
        <f>IFERROR(F6/'1-Setup'!$B$6,"")</f>
        <v/>
      </c>
      <c r="J6" s="12">
        <f>IFERROR(G6/'1-Setup'!$B$6,"")</f>
        <v/>
      </c>
      <c r="K6" s="12">
        <f>IFERROR(D6*'0-Client Quote'!$B$7*'0-Client Quote'!$B$8,"")</f>
        <v/>
      </c>
      <c r="L6" s="13">
        <f>IFERROR(K6*'0-Client Quote'!$B$9,"")</f>
        <v/>
      </c>
      <c r="M6" s="5" t="inlineStr">
        <is>
          <t>Approved Concept</t>
        </is>
      </c>
      <c r="N6" s="5" t="inlineStr">
        <is>
          <t>SEED</t>
        </is>
      </c>
      <c r="O6" s="5" t="inlineStr"/>
    </row>
    <row r="7">
      <c r="A7" s="5" t="n">
        <v>5</v>
      </c>
      <c r="B7" s="5" t="inlineStr"/>
      <c r="C7" s="10" t="inlineStr"/>
      <c r="D7" s="10" t="inlineStr"/>
      <c r="E7" s="23">
        <f>IFERROR(C7*VLOOKUP("M",'1-Setup'!$A$17:$D$21,4,FALSE)*'1-Setup'!$B$10*0.85,"")</f>
        <v/>
      </c>
      <c r="F7" s="23">
        <f>IFERROR(C7*VLOOKUP("M",'1-Setup'!$A$17:$E$21,5,FALSE)*'1-Setup'!$B$10,"")</f>
        <v/>
      </c>
      <c r="G7" s="23">
        <f>IFERROR(C7*VLOOKUP("M",'1-Setup'!$A$17:$F$21,6,FALSE)*'1-Setup'!$B$10*1.15,"")</f>
        <v/>
      </c>
      <c r="H7" s="12">
        <f>IFERROR(E7/'1-Setup'!$B$6,"")</f>
        <v/>
      </c>
      <c r="I7" s="12">
        <f>IFERROR(F7/'1-Setup'!$B$6,"")</f>
        <v/>
      </c>
      <c r="J7" s="12">
        <f>IFERROR(G7/'1-Setup'!$B$6,"")</f>
        <v/>
      </c>
      <c r="K7" s="12">
        <f>IFERROR(D7*'0-Client Quote'!$B$7*'0-Client Quote'!$B$8,"")</f>
        <v/>
      </c>
      <c r="L7" s="13">
        <f>IFERROR(K7*'0-Client Quote'!$B$9,"")</f>
        <v/>
      </c>
      <c r="M7" s="5" t="inlineStr">
        <is>
          <t>Approved Concept</t>
        </is>
      </c>
      <c r="N7" s="5" t="inlineStr">
        <is>
          <t>SEED</t>
        </is>
      </c>
      <c r="O7" s="5" t="inlineStr"/>
    </row>
    <row r="8">
      <c r="A8" s="5" t="n">
        <v>6</v>
      </c>
      <c r="B8" s="5" t="inlineStr"/>
      <c r="C8" s="10" t="inlineStr"/>
      <c r="D8" s="10" t="inlineStr"/>
      <c r="E8" s="23">
        <f>IFERROR(C8*VLOOKUP("M",'1-Setup'!$A$17:$D$21,4,FALSE)*'1-Setup'!$B$10*0.85,"")</f>
        <v/>
      </c>
      <c r="F8" s="23">
        <f>IFERROR(C8*VLOOKUP("M",'1-Setup'!$A$17:$E$21,5,FALSE)*'1-Setup'!$B$10,"")</f>
        <v/>
      </c>
      <c r="G8" s="23">
        <f>IFERROR(C8*VLOOKUP("M",'1-Setup'!$A$17:$F$21,6,FALSE)*'1-Setup'!$B$10*1.15,"")</f>
        <v/>
      </c>
      <c r="H8" s="12">
        <f>IFERROR(E8/'1-Setup'!$B$6,"")</f>
        <v/>
      </c>
      <c r="I8" s="12">
        <f>IFERROR(F8/'1-Setup'!$B$6,"")</f>
        <v/>
      </c>
      <c r="J8" s="12">
        <f>IFERROR(G8/'1-Setup'!$B$6,"")</f>
        <v/>
      </c>
      <c r="K8" s="12">
        <f>IFERROR(D8*'0-Client Quote'!$B$7*'0-Client Quote'!$B$8,"")</f>
        <v/>
      </c>
      <c r="L8" s="13">
        <f>IFERROR(K8*'0-Client Quote'!$B$9,"")</f>
        <v/>
      </c>
      <c r="M8" s="5" t="inlineStr">
        <is>
          <t>Approved Concept</t>
        </is>
      </c>
      <c r="N8" s="5" t="inlineStr">
        <is>
          <t>SEED</t>
        </is>
      </c>
      <c r="O8" s="5" t="inlineStr"/>
    </row>
    <row r="9">
      <c r="A9" s="5" t="n">
        <v>7</v>
      </c>
      <c r="B9" s="5" t="inlineStr"/>
      <c r="C9" s="10" t="inlineStr"/>
      <c r="D9" s="10" t="inlineStr"/>
      <c r="E9" s="23">
        <f>IFERROR(C9*VLOOKUP("M",'1-Setup'!$A$17:$D$21,4,FALSE)*'1-Setup'!$B$10*0.85,"")</f>
        <v/>
      </c>
      <c r="F9" s="23">
        <f>IFERROR(C9*VLOOKUP("M",'1-Setup'!$A$17:$E$21,5,FALSE)*'1-Setup'!$B$10,"")</f>
        <v/>
      </c>
      <c r="G9" s="23">
        <f>IFERROR(C9*VLOOKUP("M",'1-Setup'!$A$17:$F$21,6,FALSE)*'1-Setup'!$B$10*1.15,"")</f>
        <v/>
      </c>
      <c r="H9" s="12">
        <f>IFERROR(E9/'1-Setup'!$B$6,"")</f>
        <v/>
      </c>
      <c r="I9" s="12">
        <f>IFERROR(F9/'1-Setup'!$B$6,"")</f>
        <v/>
      </c>
      <c r="J9" s="12">
        <f>IFERROR(G9/'1-Setup'!$B$6,"")</f>
        <v/>
      </c>
      <c r="K9" s="12">
        <f>IFERROR(D9*'0-Client Quote'!$B$7*'0-Client Quote'!$B$8,"")</f>
        <v/>
      </c>
      <c r="L9" s="13">
        <f>IFERROR(K9*'0-Client Quote'!$B$9,"")</f>
        <v/>
      </c>
      <c r="M9" s="5" t="inlineStr">
        <is>
          <t>Approved Concept</t>
        </is>
      </c>
      <c r="N9" s="5" t="inlineStr">
        <is>
          <t>SEED</t>
        </is>
      </c>
      <c r="O9" s="5" t="inlineStr"/>
    </row>
    <row r="10">
      <c r="A10" s="5" t="n">
        <v>8</v>
      </c>
      <c r="B10" s="5" t="inlineStr"/>
      <c r="C10" s="10" t="inlineStr"/>
      <c r="D10" s="10" t="inlineStr"/>
      <c r="E10" s="23">
        <f>IFERROR(C10*VLOOKUP("M",'1-Setup'!$A$17:$D$21,4,FALSE)*'1-Setup'!$B$10*0.85,"")</f>
        <v/>
      </c>
      <c r="F10" s="23">
        <f>IFERROR(C10*VLOOKUP("M",'1-Setup'!$A$17:$E$21,5,FALSE)*'1-Setup'!$B$10,"")</f>
        <v/>
      </c>
      <c r="G10" s="23">
        <f>IFERROR(C10*VLOOKUP("M",'1-Setup'!$A$17:$F$21,6,FALSE)*'1-Setup'!$B$10*1.15,"")</f>
        <v/>
      </c>
      <c r="H10" s="12">
        <f>IFERROR(E10/'1-Setup'!$B$6,"")</f>
        <v/>
      </c>
      <c r="I10" s="12">
        <f>IFERROR(F10/'1-Setup'!$B$6,"")</f>
        <v/>
      </c>
      <c r="J10" s="12">
        <f>IFERROR(G10/'1-Setup'!$B$6,"")</f>
        <v/>
      </c>
      <c r="K10" s="12">
        <f>IFERROR(D10*'0-Client Quote'!$B$7*'0-Client Quote'!$B$8,"")</f>
        <v/>
      </c>
      <c r="L10" s="13">
        <f>IFERROR(K10*'0-Client Quote'!$B$9,"")</f>
        <v/>
      </c>
      <c r="M10" s="5" t="inlineStr">
        <is>
          <t>Approved Concept</t>
        </is>
      </c>
      <c r="N10" s="5" t="inlineStr">
        <is>
          <t>SEED</t>
        </is>
      </c>
      <c r="O10" s="5" t="inlineStr"/>
    </row>
    <row r="11">
      <c r="A11" s="24" t="inlineStr">
        <is>
          <t>PROJECT TOTAL</t>
        </is>
      </c>
      <c r="C11" s="12">
        <f>SUM(C3:C10)</f>
        <v/>
      </c>
      <c r="D11" s="12">
        <f>SUM(D3:D10)</f>
        <v/>
      </c>
      <c r="E11" s="23">
        <f>SUM(E3:E10)</f>
        <v/>
      </c>
      <c r="F11" s="23">
        <f>SUM(F3:F10)</f>
        <v/>
      </c>
      <c r="G11" s="23">
        <f>SUM(G3:G10)</f>
        <v/>
      </c>
      <c r="H11" s="23">
        <f>SUM(H3:H10)</f>
        <v/>
      </c>
      <c r="I11" s="23">
        <f>SUM(I3:I10)</f>
        <v/>
      </c>
      <c r="J11" s="23">
        <f>SUM(J3:J10)</f>
        <v/>
      </c>
      <c r="K11" s="23">
        <f>SUM(K3:K10)</f>
        <v/>
      </c>
      <c r="L11" s="13">
        <f>SUM(L3:L10)</f>
        <v/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Monte Carlo Simulation — P50 / P80 / P95 Forecasts</t>
        </is>
      </c>
    </row>
    <row r="3">
      <c r="A3" s="2" t="inlineStr">
        <is>
          <t>SIMULATION PARAMETERS</t>
        </is>
      </c>
    </row>
    <row r="4">
      <c r="A4" s="6" t="inlineStr">
        <is>
          <t>Iterations</t>
        </is>
      </c>
      <c r="B4" s="4" t="n">
        <v>10000</v>
      </c>
    </row>
    <row r="5">
      <c r="A5" s="6" t="inlineStr">
        <is>
          <t>Scenarios (from Scenario List)</t>
        </is>
      </c>
      <c r="B5" s="4">
        <f>COUNTA('2-Scenario List'!A3:A27)</f>
        <v/>
      </c>
    </row>
    <row r="6">
      <c r="A6" s="6" t="inlineStr">
        <is>
          <t>Distribution Type</t>
        </is>
      </c>
      <c r="B6" s="4" t="inlineStr">
        <is>
          <t>Triangular</t>
        </is>
      </c>
    </row>
    <row r="7">
      <c r="A7" s="6" t="inlineStr">
        <is>
          <t>Sprint Dependency</t>
        </is>
      </c>
      <c r="B7" s="4" t="inlineStr">
        <is>
          <t>Sequential</t>
        </is>
      </c>
    </row>
    <row r="8">
      <c r="A8" s="6" t="inlineStr">
        <is>
          <t>Daily Throughput (K tokens)</t>
        </is>
      </c>
      <c r="B8" s="4">
        <f>'1-Setup'!B6</f>
        <v/>
      </c>
    </row>
    <row r="9">
      <c r="A9" s="6" t="inlineStr">
        <is>
          <t>Combined Multiplier (internal)</t>
        </is>
      </c>
      <c r="B9" s="4">
        <f>'1-Setup'!B10</f>
        <v/>
      </c>
    </row>
    <row r="10">
      <c r="A10" s="6" t="inlineStr">
        <is>
          <t>Stack Factor (client)</t>
        </is>
      </c>
      <c r="B10" s="4">
        <f>'0-Client Quote'!B7</f>
        <v/>
      </c>
    </row>
    <row r="11">
      <c r="A11" s="6" t="inlineStr">
        <is>
          <t>Org Factor (client)</t>
        </is>
      </c>
      <c r="B11" s="4">
        <f>'0-Client Quote'!B8</f>
        <v/>
      </c>
    </row>
    <row r="12">
      <c r="A12" s="6" t="inlineStr">
        <is>
          <t>$/FP Rate</t>
        </is>
      </c>
      <c r="B12" s="4">
        <f>'0-Client Quote'!B9</f>
        <v/>
      </c>
    </row>
    <row r="14">
      <c r="A14" s="32" t="inlineStr">
        <is>
          <t>SIMULATION RESULTS  (run VBA macro: Alt+F8 → RunMonteCarloSimulation)</t>
        </is>
      </c>
    </row>
    <row r="15">
      <c r="A15" s="9" t="inlineStr">
        <is>
          <t>Percentile</t>
        </is>
      </c>
      <c r="B15" s="9" t="inlineStr">
        <is>
          <t>Probability</t>
        </is>
      </c>
      <c r="C15" s="9" t="inlineStr">
        <is>
          <t>Token Budget (K)</t>
        </is>
      </c>
      <c r="D15" s="9" t="inlineStr">
        <is>
          <t>Token Budget ($)</t>
        </is>
      </c>
      <c r="E15" s="9" t="inlineStr">
        <is>
          <t>Duration (days)</t>
        </is>
      </c>
      <c r="F15" s="9" t="inlineStr">
        <is>
          <t>AFP (client)</t>
        </is>
      </c>
      <c r="G15" s="9" t="inlineStr">
        <is>
          <t>Quote Total ($)</t>
        </is>
      </c>
    </row>
    <row r="16">
      <c r="A16" s="6" t="inlineStr">
        <is>
          <t>P10</t>
        </is>
      </c>
      <c r="B16" s="4" t="inlineStr">
        <is>
          <t>10%</t>
        </is>
      </c>
      <c r="C16" s="33" t="inlineStr"/>
      <c r="D16" s="33" t="inlineStr"/>
      <c r="E16" s="33" t="inlineStr"/>
      <c r="F16" s="33" t="inlineStr"/>
      <c r="G16" s="33" t="inlineStr"/>
    </row>
    <row r="17">
      <c r="A17" s="6" t="inlineStr">
        <is>
          <t>P50 — Median</t>
        </is>
      </c>
      <c r="B17" s="4" t="inlineStr">
        <is>
          <t>50%</t>
        </is>
      </c>
      <c r="C17" s="33" t="inlineStr"/>
      <c r="D17" s="33" t="inlineStr"/>
      <c r="E17" s="33" t="inlineStr"/>
      <c r="F17" s="33" t="inlineStr"/>
      <c r="G17" s="33" t="inlineStr"/>
    </row>
    <row r="18">
      <c r="A18" s="34" t="inlineStr">
        <is>
          <t>P80 — Planning Target ★</t>
        </is>
      </c>
      <c r="B18" s="35" t="inlineStr">
        <is>
          <t>80%</t>
        </is>
      </c>
      <c r="C18" s="36" t="inlineStr"/>
      <c r="D18" s="36" t="inlineStr"/>
      <c r="E18" s="36" t="inlineStr"/>
      <c r="F18" s="36" t="inlineStr"/>
      <c r="G18" s="36" t="inlineStr"/>
    </row>
    <row r="19">
      <c r="A19" s="6" t="inlineStr">
        <is>
          <t>P95 — Conservative Commitment</t>
        </is>
      </c>
      <c r="B19" s="4" t="inlineStr">
        <is>
          <t>95%</t>
        </is>
      </c>
      <c r="C19" s="33" t="inlineStr"/>
      <c r="D19" s="33" t="inlineStr"/>
      <c r="E19" s="33" t="inlineStr"/>
      <c r="F19" s="33" t="inlineStr"/>
      <c r="G19" s="33" t="inlineStr"/>
    </row>
    <row r="21" ht="18" customHeight="1">
      <c r="A21" s="37" t="inlineStr">
        <is>
          <t>EBS SIMULATION DATA — 100-percentile probability distribution  (populated by EST-07)</t>
        </is>
      </c>
    </row>
    <row r="22" ht="16" customHeight="1">
      <c r="A22" s="38" t="inlineStr">
        <is>
          <t>#</t>
        </is>
      </c>
      <c r="B22" s="38" t="inlineStr">
        <is>
          <t>Probability (%)</t>
        </is>
      </c>
      <c r="C22" s="38" t="inlineStr">
        <is>
          <t>Token Budget (K tokens)</t>
        </is>
      </c>
      <c r="D22" s="38" t="inlineStr">
        <is>
          <t>Duration (days)</t>
        </is>
      </c>
    </row>
    <row r="23" ht="14" customHeight="1">
      <c r="A23" s="39" t="inlineStr"/>
      <c r="B23" s="39" t="inlineStr"/>
      <c r="C23" s="39" t="inlineStr"/>
      <c r="D23" s="39" t="inlineStr"/>
    </row>
    <row r="24" ht="14" customHeight="1">
      <c r="A24" s="39" t="inlineStr"/>
      <c r="B24" s="39" t="inlineStr"/>
      <c r="C24" s="39" t="inlineStr"/>
      <c r="D24" s="39" t="inlineStr"/>
    </row>
    <row r="25" ht="14" customHeight="1">
      <c r="A25" s="39" t="inlineStr"/>
      <c r="B25" s="39" t="inlineStr"/>
      <c r="C25" s="39" t="inlineStr"/>
      <c r="D25" s="39" t="inlineStr"/>
    </row>
    <row r="26" ht="14" customHeight="1">
      <c r="A26" s="39" t="inlineStr"/>
      <c r="B26" s="39" t="inlineStr"/>
      <c r="C26" s="39" t="inlineStr"/>
      <c r="D26" s="39" t="inlineStr"/>
    </row>
    <row r="27" ht="14" customHeight="1">
      <c r="A27" s="39" t="inlineStr"/>
      <c r="B27" s="39" t="inlineStr"/>
      <c r="C27" s="39" t="inlineStr"/>
      <c r="D27" s="39" t="inlineStr"/>
    </row>
  </sheetData>
  <mergeCells count="4">
    <mergeCell ref="A21:D21"/>
    <mergeCell ref="A1:J1"/>
    <mergeCell ref="A14:J14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10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 ht="28" customHeight="1">
      <c r="A1" s="1" t="inlineStr">
        <is>
          <t>Work Breakdown Structure — Function Point Decomposition (BPE-01 per feature)</t>
        </is>
      </c>
    </row>
    <row r="2">
      <c r="A2" s="9" t="inlineStr">
        <is>
          <t>Scenario ID</t>
        </is>
      </c>
      <c r="B2" s="9" t="inlineStr">
        <is>
          <t>Feature</t>
        </is>
      </c>
      <c r="C2" s="9" t="inlineStr">
        <is>
          <t>Sprint</t>
        </is>
      </c>
      <c r="D2" s="9" t="inlineStr">
        <is>
          <t>Work Package #</t>
        </is>
      </c>
      <c r="E2" s="9" t="inlineStr">
        <is>
          <t>Artifact (from BPE-01 Plan)</t>
        </is>
      </c>
      <c r="F2" s="9" t="inlineStr">
        <is>
          <t>BPE Activity</t>
        </is>
      </c>
      <c r="G2" s="9" t="inlineStr">
        <is>
          <t>Reuse Flag</t>
        </is>
      </c>
      <c r="H2" s="9" t="inlineStr">
        <is>
          <t>Reuse Mult.</t>
        </is>
      </c>
      <c r="I2" s="9" t="inlineStr">
        <is>
          <t>WP Min (K)</t>
        </is>
      </c>
      <c r="J2" s="9" t="inlineStr">
        <is>
          <t>WP Exp (K)</t>
        </is>
      </c>
      <c r="K2" s="9" t="inlineStr">
        <is>
          <t>WP Max (K)</t>
        </is>
      </c>
      <c r="L2" s="9" t="inlineStr">
        <is>
          <t>Adj Min</t>
        </is>
      </c>
      <c r="M2" s="9" t="inlineStr">
        <is>
          <t>Adj Exp</t>
        </is>
      </c>
      <c r="N2" s="9" t="inlineStr">
        <is>
          <t>Adj Max</t>
        </is>
      </c>
      <c r="O2" s="9" t="inlineStr">
        <is>
          <t>Notes</t>
        </is>
      </c>
    </row>
    <row r="3" ht="28" customHeight="1">
      <c r="A3" s="40" t="inlineStr">
        <is>
          <t>← Run BPE-01 (Plan Feature) in estimation mode for each scenario. BPE-01 produces the artifact list; enter one row per artifact here. Do NOT pre-fill — every feature has a different artifact set.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10" t="inlineStr"/>
      <c r="I4" s="21" t="inlineStr"/>
      <c r="J4" s="21" t="inlineStr"/>
      <c r="K4" s="21" t="inlineStr"/>
      <c r="L4" s="23">
        <f>IFERROR(I4*H4,"")</f>
        <v/>
      </c>
      <c r="M4" s="23">
        <f>IFERROR(J4*H4,"")</f>
        <v/>
      </c>
      <c r="N4" s="23">
        <f>IFERROR(K4*H4,"")</f>
        <v/>
      </c>
      <c r="O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10" t="inlineStr"/>
      <c r="I5" s="21" t="inlineStr"/>
      <c r="J5" s="21" t="inlineStr"/>
      <c r="K5" s="21" t="inlineStr"/>
      <c r="L5" s="23">
        <f>IFERROR(I5*H5,"")</f>
        <v/>
      </c>
      <c r="M5" s="23">
        <f>IFERROR(J5*H5,"")</f>
        <v/>
      </c>
      <c r="N5" s="23">
        <f>IFERROR(K5*H5,"")</f>
        <v/>
      </c>
      <c r="O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10" t="inlineStr"/>
      <c r="I6" s="21" t="inlineStr"/>
      <c r="J6" s="21" t="inlineStr"/>
      <c r="K6" s="21" t="inlineStr"/>
      <c r="L6" s="23">
        <f>IFERROR(I6*H6,"")</f>
        <v/>
      </c>
      <c r="M6" s="23">
        <f>IFERROR(J6*H6,"")</f>
        <v/>
      </c>
      <c r="N6" s="23">
        <f>IFERROR(K6*H6,"")</f>
        <v/>
      </c>
      <c r="O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10" t="inlineStr"/>
      <c r="I7" s="21" t="inlineStr"/>
      <c r="J7" s="21" t="inlineStr"/>
      <c r="K7" s="21" t="inlineStr"/>
      <c r="L7" s="23">
        <f>IFERROR(I7*H7,"")</f>
        <v/>
      </c>
      <c r="M7" s="23">
        <f>IFERROR(J7*H7,"")</f>
        <v/>
      </c>
      <c r="N7" s="23">
        <f>IFERROR(K7*H7,"")</f>
        <v/>
      </c>
      <c r="O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10" t="inlineStr"/>
      <c r="I8" s="21" t="inlineStr"/>
      <c r="J8" s="21" t="inlineStr"/>
      <c r="K8" s="21" t="inlineStr"/>
      <c r="L8" s="23">
        <f>IFERROR(I8*H8,"")</f>
        <v/>
      </c>
      <c r="M8" s="23">
        <f>IFERROR(J8*H8,"")</f>
        <v/>
      </c>
      <c r="N8" s="23">
        <f>IFERROR(K8*H8,"")</f>
        <v/>
      </c>
      <c r="O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10" t="inlineStr"/>
      <c r="I9" s="21" t="inlineStr"/>
      <c r="J9" s="21" t="inlineStr"/>
      <c r="K9" s="21" t="inlineStr"/>
      <c r="L9" s="23">
        <f>IFERROR(I9*H9,"")</f>
        <v/>
      </c>
      <c r="M9" s="23">
        <f>IFERROR(J9*H9,"")</f>
        <v/>
      </c>
      <c r="N9" s="23">
        <f>IFERROR(K9*H9,"")</f>
        <v/>
      </c>
      <c r="O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10" t="inlineStr"/>
      <c r="I10" s="21" t="inlineStr"/>
      <c r="J10" s="21" t="inlineStr"/>
      <c r="K10" s="21" t="inlineStr"/>
      <c r="L10" s="23">
        <f>IFERROR(I10*H10,"")</f>
        <v/>
      </c>
      <c r="M10" s="23">
        <f>IFERROR(J10*H10,"")</f>
        <v/>
      </c>
      <c r="N10" s="23">
        <f>IFERROR(K10*H10,"")</f>
        <v/>
      </c>
      <c r="O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10" t="inlineStr"/>
      <c r="I11" s="21" t="inlineStr"/>
      <c r="J11" s="21" t="inlineStr"/>
      <c r="K11" s="21" t="inlineStr"/>
      <c r="L11" s="23">
        <f>IFERROR(I11*H11,"")</f>
        <v/>
      </c>
      <c r="M11" s="23">
        <f>IFERROR(J11*H11,"")</f>
        <v/>
      </c>
      <c r="N11" s="23">
        <f>IFERROR(K11*H11,"")</f>
        <v/>
      </c>
      <c r="O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10" t="inlineStr"/>
      <c r="I12" s="21" t="inlineStr"/>
      <c r="J12" s="21" t="inlineStr"/>
      <c r="K12" s="21" t="inlineStr"/>
      <c r="L12" s="23">
        <f>IFERROR(I12*H12,"")</f>
        <v/>
      </c>
      <c r="M12" s="23">
        <f>IFERROR(J12*H12,"")</f>
        <v/>
      </c>
      <c r="N12" s="23">
        <f>IFERROR(K12*H12,"")</f>
        <v/>
      </c>
      <c r="O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10" t="inlineStr"/>
      <c r="I13" s="21" t="inlineStr"/>
      <c r="J13" s="21" t="inlineStr"/>
      <c r="K13" s="21" t="inlineStr"/>
      <c r="L13" s="23">
        <f>IFERROR(I13*H13,"")</f>
        <v/>
      </c>
      <c r="M13" s="23">
        <f>IFERROR(J13*H13,"")</f>
        <v/>
      </c>
      <c r="N13" s="23">
        <f>IFERROR(K13*H13,"")</f>
        <v/>
      </c>
      <c r="O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10" t="inlineStr"/>
      <c r="I14" s="21" t="inlineStr"/>
      <c r="J14" s="21" t="inlineStr"/>
      <c r="K14" s="21" t="inlineStr"/>
      <c r="L14" s="23">
        <f>IFERROR(I14*H14,"")</f>
        <v/>
      </c>
      <c r="M14" s="23">
        <f>IFERROR(J14*H14,"")</f>
        <v/>
      </c>
      <c r="N14" s="23">
        <f>IFERROR(K14*H14,"")</f>
        <v/>
      </c>
      <c r="O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10" t="inlineStr"/>
      <c r="I15" s="21" t="inlineStr"/>
      <c r="J15" s="21" t="inlineStr"/>
      <c r="K15" s="21" t="inlineStr"/>
      <c r="L15" s="23">
        <f>IFERROR(I15*H15,"")</f>
        <v/>
      </c>
      <c r="M15" s="23">
        <f>IFERROR(J15*H15,"")</f>
        <v/>
      </c>
      <c r="N15" s="23">
        <f>IFERROR(K15*H15,"")</f>
        <v/>
      </c>
      <c r="O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10" t="inlineStr"/>
      <c r="I16" s="21" t="inlineStr"/>
      <c r="J16" s="21" t="inlineStr"/>
      <c r="K16" s="21" t="inlineStr"/>
      <c r="L16" s="23">
        <f>IFERROR(I16*H16,"")</f>
        <v/>
      </c>
      <c r="M16" s="23">
        <f>IFERROR(J16*H16,"")</f>
        <v/>
      </c>
      <c r="N16" s="23">
        <f>IFERROR(K16*H16,"")</f>
        <v/>
      </c>
      <c r="O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10" t="inlineStr"/>
      <c r="I17" s="21" t="inlineStr"/>
      <c r="J17" s="21" t="inlineStr"/>
      <c r="K17" s="21" t="inlineStr"/>
      <c r="L17" s="23">
        <f>IFERROR(I17*H17,"")</f>
        <v/>
      </c>
      <c r="M17" s="23">
        <f>IFERROR(J17*H17,"")</f>
        <v/>
      </c>
      <c r="N17" s="23">
        <f>IFERROR(K17*H17,"")</f>
        <v/>
      </c>
      <c r="O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10" t="inlineStr"/>
      <c r="I18" s="21" t="inlineStr"/>
      <c r="J18" s="21" t="inlineStr"/>
      <c r="K18" s="21" t="inlineStr"/>
      <c r="L18" s="23">
        <f>IFERROR(I18*H18,"")</f>
        <v/>
      </c>
      <c r="M18" s="23">
        <f>IFERROR(J18*H18,"")</f>
        <v/>
      </c>
      <c r="N18" s="23">
        <f>IFERROR(K18*H18,"")</f>
        <v/>
      </c>
      <c r="O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10" t="inlineStr"/>
      <c r="I19" s="21" t="inlineStr"/>
      <c r="J19" s="21" t="inlineStr"/>
      <c r="K19" s="21" t="inlineStr"/>
      <c r="L19" s="23">
        <f>IFERROR(I19*H19,"")</f>
        <v/>
      </c>
      <c r="M19" s="23">
        <f>IFERROR(J19*H19,"")</f>
        <v/>
      </c>
      <c r="N19" s="23">
        <f>IFERROR(K19*H19,"")</f>
        <v/>
      </c>
      <c r="O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10" t="inlineStr"/>
      <c r="I20" s="21" t="inlineStr"/>
      <c r="J20" s="21" t="inlineStr"/>
      <c r="K20" s="21" t="inlineStr"/>
      <c r="L20" s="23">
        <f>IFERROR(I20*H20,"")</f>
        <v/>
      </c>
      <c r="M20" s="23">
        <f>IFERROR(J20*H20,"")</f>
        <v/>
      </c>
      <c r="N20" s="23">
        <f>IFERROR(K20*H20,"")</f>
        <v/>
      </c>
      <c r="O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10" t="inlineStr"/>
      <c r="I21" s="21" t="inlineStr"/>
      <c r="J21" s="21" t="inlineStr"/>
      <c r="K21" s="21" t="inlineStr"/>
      <c r="L21" s="23">
        <f>IFERROR(I21*H21,"")</f>
        <v/>
      </c>
      <c r="M21" s="23">
        <f>IFERROR(J21*H21,"")</f>
        <v/>
      </c>
      <c r="N21" s="23">
        <f>IFERROR(K21*H21,"")</f>
        <v/>
      </c>
      <c r="O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10" t="inlineStr"/>
      <c r="I22" s="21" t="inlineStr"/>
      <c r="J22" s="21" t="inlineStr"/>
      <c r="K22" s="21" t="inlineStr"/>
      <c r="L22" s="23">
        <f>IFERROR(I22*H22,"")</f>
        <v/>
      </c>
      <c r="M22" s="23">
        <f>IFERROR(J22*H22,"")</f>
        <v/>
      </c>
      <c r="N22" s="23">
        <f>IFERROR(K22*H22,"")</f>
        <v/>
      </c>
      <c r="O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10" t="inlineStr"/>
      <c r="I23" s="21" t="inlineStr"/>
      <c r="J23" s="21" t="inlineStr"/>
      <c r="K23" s="21" t="inlineStr"/>
      <c r="L23" s="23">
        <f>IFERROR(I23*H23,"")</f>
        <v/>
      </c>
      <c r="M23" s="23">
        <f>IFERROR(J23*H23,"")</f>
        <v/>
      </c>
      <c r="N23" s="23">
        <f>IFERROR(K23*H23,"")</f>
        <v/>
      </c>
      <c r="O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10" t="inlineStr"/>
      <c r="I24" s="21" t="inlineStr"/>
      <c r="J24" s="21" t="inlineStr"/>
      <c r="K24" s="21" t="inlineStr"/>
      <c r="L24" s="23">
        <f>IFERROR(I24*H24,"")</f>
        <v/>
      </c>
      <c r="M24" s="23">
        <f>IFERROR(J24*H24,"")</f>
        <v/>
      </c>
      <c r="N24" s="23">
        <f>IFERROR(K24*H24,"")</f>
        <v/>
      </c>
      <c r="O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10" t="inlineStr"/>
      <c r="I25" s="21" t="inlineStr"/>
      <c r="J25" s="21" t="inlineStr"/>
      <c r="K25" s="21" t="inlineStr"/>
      <c r="L25" s="23">
        <f>IFERROR(I25*H25,"")</f>
        <v/>
      </c>
      <c r="M25" s="23">
        <f>IFERROR(J25*H25,"")</f>
        <v/>
      </c>
      <c r="N25" s="23">
        <f>IFERROR(K25*H25,"")</f>
        <v/>
      </c>
      <c r="O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10" t="inlineStr"/>
      <c r="I26" s="21" t="inlineStr"/>
      <c r="J26" s="21" t="inlineStr"/>
      <c r="K26" s="21" t="inlineStr"/>
      <c r="L26" s="23">
        <f>IFERROR(I26*H26,"")</f>
        <v/>
      </c>
      <c r="M26" s="23">
        <f>IFERROR(J26*H26,"")</f>
        <v/>
      </c>
      <c r="N26" s="23">
        <f>IFERROR(K26*H26,"")</f>
        <v/>
      </c>
      <c r="O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10" t="inlineStr"/>
      <c r="I27" s="21" t="inlineStr"/>
      <c r="J27" s="21" t="inlineStr"/>
      <c r="K27" s="21" t="inlineStr"/>
      <c r="L27" s="23">
        <f>IFERROR(I27*H27,"")</f>
        <v/>
      </c>
      <c r="M27" s="23">
        <f>IFERROR(J27*H27,"")</f>
        <v/>
      </c>
      <c r="N27" s="23">
        <f>IFERROR(K27*H27,"")</f>
        <v/>
      </c>
      <c r="O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10" t="inlineStr"/>
      <c r="I28" s="21" t="inlineStr"/>
      <c r="J28" s="21" t="inlineStr"/>
      <c r="K28" s="21" t="inlineStr"/>
      <c r="L28" s="23">
        <f>IFERROR(I28*H28,"")</f>
        <v/>
      </c>
      <c r="M28" s="23">
        <f>IFERROR(J28*H28,"")</f>
        <v/>
      </c>
      <c r="N28" s="23">
        <f>IFERROR(K28*H28,"")</f>
        <v/>
      </c>
      <c r="O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10" t="inlineStr"/>
      <c r="I29" s="21" t="inlineStr"/>
      <c r="J29" s="21" t="inlineStr"/>
      <c r="K29" s="21" t="inlineStr"/>
      <c r="L29" s="23">
        <f>IFERROR(I29*H29,"")</f>
        <v/>
      </c>
      <c r="M29" s="23">
        <f>IFERROR(J29*H29,"")</f>
        <v/>
      </c>
      <c r="N29" s="23">
        <f>IFERROR(K29*H29,"")</f>
        <v/>
      </c>
      <c r="O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10" t="inlineStr"/>
      <c r="I30" s="21" t="inlineStr"/>
      <c r="J30" s="21" t="inlineStr"/>
      <c r="K30" s="21" t="inlineStr"/>
      <c r="L30" s="23">
        <f>IFERROR(I30*H30,"")</f>
        <v/>
      </c>
      <c r="M30" s="23">
        <f>IFERROR(J30*H30,"")</f>
        <v/>
      </c>
      <c r="N30" s="23">
        <f>IFERROR(K30*H30,"")</f>
        <v/>
      </c>
      <c r="O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10" t="inlineStr"/>
      <c r="I31" s="21" t="inlineStr"/>
      <c r="J31" s="21" t="inlineStr"/>
      <c r="K31" s="21" t="inlineStr"/>
      <c r="L31" s="23">
        <f>IFERROR(I31*H31,"")</f>
        <v/>
      </c>
      <c r="M31" s="23">
        <f>IFERROR(J31*H31,"")</f>
        <v/>
      </c>
      <c r="N31" s="23">
        <f>IFERROR(K31*H31,"")</f>
        <v/>
      </c>
      <c r="O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10" t="inlineStr"/>
      <c r="I32" s="21" t="inlineStr"/>
      <c r="J32" s="21" t="inlineStr"/>
      <c r="K32" s="21" t="inlineStr"/>
      <c r="L32" s="23">
        <f>IFERROR(I32*H32,"")</f>
        <v/>
      </c>
      <c r="M32" s="23">
        <f>IFERROR(J32*H32,"")</f>
        <v/>
      </c>
      <c r="N32" s="23">
        <f>IFERROR(K32*H32,"")</f>
        <v/>
      </c>
      <c r="O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10" t="inlineStr"/>
      <c r="I33" s="21" t="inlineStr"/>
      <c r="J33" s="21" t="inlineStr"/>
      <c r="K33" s="21" t="inlineStr"/>
      <c r="L33" s="23">
        <f>IFERROR(I33*H33,"")</f>
        <v/>
      </c>
      <c r="M33" s="23">
        <f>IFERROR(J33*H33,"")</f>
        <v/>
      </c>
      <c r="N33" s="23">
        <f>IFERROR(K33*H33,"")</f>
        <v/>
      </c>
      <c r="O33" s="5" t="inlineStr"/>
    </row>
    <row r="34">
      <c r="D34" s="24" t="inlineStr">
        <is>
          <t>SCENARIO TOTAL</t>
        </is>
      </c>
      <c r="L34" s="23">
        <f>SUM(L4:L33)</f>
        <v/>
      </c>
      <c r="M34" s="23">
        <f>SUM(M4:M33)</f>
        <v/>
      </c>
      <c r="N34" s="23">
        <f>SUM(N4:N33)</f>
        <v/>
      </c>
    </row>
  </sheetData>
  <mergeCells count="2">
    <mergeCell ref="A1:O1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28" customWidth="1" min="17" max="17"/>
  </cols>
  <sheetData>
    <row r="1" ht="28" customHeight="1">
      <c r="A1" s="1" t="inlineStr">
        <is>
          <t>Detailed Estimates — FP Decomposition Aggregates &amp; Actuals</t>
        </is>
      </c>
    </row>
    <row r="2">
      <c r="A2" s="9" t="inlineStr">
        <is>
          <t>Scenario ID</t>
        </is>
      </c>
      <c r="B2" s="9" t="inlineStr">
        <is>
          <t>Feature</t>
        </is>
      </c>
      <c r="C2" s="9" t="inlineStr">
        <is>
          <t>Sprint</t>
        </is>
      </c>
      <c r="D2" s="9" t="inlineStr">
        <is>
          <t>Size</t>
        </is>
      </c>
      <c r="E2" s="9" t="inlineStr">
        <is>
          <t>SP (internal)</t>
        </is>
      </c>
      <c r="F2" s="9" t="inlineStr">
        <is>
          <t>FP weight (client)</t>
        </is>
      </c>
      <c r="G2" s="9" t="inlineStr">
        <is>
          <t>FP Decomp Min (K)</t>
        </is>
      </c>
      <c r="H2" s="9" t="inlineStr">
        <is>
          <t>FP Decomp Exp (K)</t>
        </is>
      </c>
      <c r="I2" s="9" t="inlineStr">
        <is>
          <t>FP Decomp Max (K)</t>
        </is>
      </c>
      <c r="J2" s="9" t="inlineStr">
        <is>
          <t>L1 Exp (K)</t>
        </is>
      </c>
      <c r="K2" s="9" t="inlineStr">
        <is>
          <t>L1/L2 Delta %</t>
        </is>
      </c>
      <c r="L2" s="9" t="inlineStr">
        <is>
          <t>Actual Tokens (K)</t>
        </is>
      </c>
      <c r="M2" s="9" t="inlineStr">
        <is>
          <t>Token VF</t>
        </is>
      </c>
      <c r="N2" s="9" t="inlineStr">
        <is>
          <t>AFP Est.</t>
        </is>
      </c>
      <c r="O2" s="9" t="inlineStr">
        <is>
          <t>AFP VF</t>
        </is>
      </c>
      <c r="P2" s="9" t="inlineStr">
        <is>
          <t>Status</t>
        </is>
      </c>
      <c r="Q2" s="9" t="inlineStr">
        <is>
          <t>Notes</t>
        </is>
      </c>
    </row>
    <row r="3">
      <c r="A3" s="5" t="inlineStr"/>
      <c r="B3" s="5" t="inlineStr"/>
      <c r="C3" s="5" t="inlineStr"/>
      <c r="D3" s="5" t="inlineStr">
        <is>
          <t>M</t>
        </is>
      </c>
      <c r="E3" s="12">
        <f>IFERROR(VLOOKUP(D3,'1-Setup'!$A$17:$B$21,2,FALSE),"")</f>
        <v/>
      </c>
      <c r="F3" s="12">
        <f>IFERROR(VLOOKUP(D3,'1-Setup'!$A$17:$C$21,3,FALSE),"")</f>
        <v/>
      </c>
      <c r="G3" s="21" t="inlineStr"/>
      <c r="H3" s="21" t="inlineStr"/>
      <c r="I3" s="21" t="inlineStr"/>
      <c r="J3" s="23">
        <f>IFERROR(VLOOKUP(A3,'2-Scenario List'!$A$3:$L$27,12,FALSE),"")</f>
        <v/>
      </c>
      <c r="K3" s="41">
        <f>IFERROR((H3-J3)/J3,"")</f>
        <v/>
      </c>
      <c r="L3" s="21" t="inlineStr"/>
      <c r="M3" s="11">
        <f>IFERROR(L3/H3,"")</f>
        <v/>
      </c>
      <c r="N3" s="12">
        <f>IFERROR(F3*'0-Client Quote'!$B$7*'0-Client Quote'!$B$8,"")</f>
        <v/>
      </c>
      <c r="O3" s="11">
        <f>IFERROR(F3/N3,"")</f>
        <v/>
      </c>
      <c r="P3" s="5" t="inlineStr">
        <is>
          <t>PLANNED</t>
        </is>
      </c>
      <c r="Q3" s="5" t="inlineStr"/>
    </row>
    <row r="4">
      <c r="A4" s="5" t="inlineStr"/>
      <c r="B4" s="5" t="inlineStr"/>
      <c r="C4" s="5" t="inlineStr"/>
      <c r="D4" s="5" t="inlineStr">
        <is>
          <t>M</t>
        </is>
      </c>
      <c r="E4" s="12">
        <f>IFERROR(VLOOKUP(D4,'1-Setup'!$A$17:$B$21,2,FALSE),"")</f>
        <v/>
      </c>
      <c r="F4" s="12">
        <f>IFERROR(VLOOKUP(D4,'1-Setup'!$A$17:$C$21,3,FALSE),"")</f>
        <v/>
      </c>
      <c r="G4" s="21" t="inlineStr"/>
      <c r="H4" s="21" t="inlineStr"/>
      <c r="I4" s="21" t="inlineStr"/>
      <c r="J4" s="23">
        <f>IFERROR(VLOOKUP(A4,'2-Scenario List'!$A$3:$L$27,12,FALSE),"")</f>
        <v/>
      </c>
      <c r="K4" s="41">
        <f>IFERROR((H4-J4)/J4,"")</f>
        <v/>
      </c>
      <c r="L4" s="21" t="inlineStr"/>
      <c r="M4" s="11">
        <f>IFERROR(L4/H4,"")</f>
        <v/>
      </c>
      <c r="N4" s="12">
        <f>IFERROR(F4*'0-Client Quote'!$B$7*'0-Client Quote'!$B$8,"")</f>
        <v/>
      </c>
      <c r="O4" s="11">
        <f>IFERROR(F4/N4,"")</f>
        <v/>
      </c>
      <c r="P4" s="5" t="inlineStr">
        <is>
          <t>PLANNED</t>
        </is>
      </c>
      <c r="Q4" s="5" t="inlineStr"/>
    </row>
    <row r="5">
      <c r="A5" s="5" t="inlineStr"/>
      <c r="B5" s="5" t="inlineStr"/>
      <c r="C5" s="5" t="inlineStr"/>
      <c r="D5" s="5" t="inlineStr">
        <is>
          <t>M</t>
        </is>
      </c>
      <c r="E5" s="12">
        <f>IFERROR(VLOOKUP(D5,'1-Setup'!$A$17:$B$21,2,FALSE),"")</f>
        <v/>
      </c>
      <c r="F5" s="12">
        <f>IFERROR(VLOOKUP(D5,'1-Setup'!$A$17:$C$21,3,FALSE),"")</f>
        <v/>
      </c>
      <c r="G5" s="21" t="inlineStr"/>
      <c r="H5" s="21" t="inlineStr"/>
      <c r="I5" s="21" t="inlineStr"/>
      <c r="J5" s="23">
        <f>IFERROR(VLOOKUP(A5,'2-Scenario List'!$A$3:$L$27,12,FALSE),"")</f>
        <v/>
      </c>
      <c r="K5" s="41">
        <f>IFERROR((H5-J5)/J5,"")</f>
        <v/>
      </c>
      <c r="L5" s="21" t="inlineStr"/>
      <c r="M5" s="11">
        <f>IFERROR(L5/H5,"")</f>
        <v/>
      </c>
      <c r="N5" s="12">
        <f>IFERROR(F5*'0-Client Quote'!$B$7*'0-Client Quote'!$B$8,"")</f>
        <v/>
      </c>
      <c r="O5" s="11">
        <f>IFERROR(F5/N5,"")</f>
        <v/>
      </c>
      <c r="P5" s="5" t="inlineStr">
        <is>
          <t>PLANNED</t>
        </is>
      </c>
      <c r="Q5" s="5" t="inlineStr"/>
    </row>
    <row r="6">
      <c r="A6" s="5" t="inlineStr"/>
      <c r="B6" s="5" t="inlineStr"/>
      <c r="C6" s="5" t="inlineStr"/>
      <c r="D6" s="5" t="inlineStr">
        <is>
          <t>M</t>
        </is>
      </c>
      <c r="E6" s="12">
        <f>IFERROR(VLOOKUP(D6,'1-Setup'!$A$17:$B$21,2,FALSE),"")</f>
        <v/>
      </c>
      <c r="F6" s="12">
        <f>IFERROR(VLOOKUP(D6,'1-Setup'!$A$17:$C$21,3,FALSE),"")</f>
        <v/>
      </c>
      <c r="G6" s="21" t="inlineStr"/>
      <c r="H6" s="21" t="inlineStr"/>
      <c r="I6" s="21" t="inlineStr"/>
      <c r="J6" s="23">
        <f>IFERROR(VLOOKUP(A6,'2-Scenario List'!$A$3:$L$27,12,FALSE),"")</f>
        <v/>
      </c>
      <c r="K6" s="41">
        <f>IFERROR((H6-J6)/J6,"")</f>
        <v/>
      </c>
      <c r="L6" s="21" t="inlineStr"/>
      <c r="M6" s="11">
        <f>IFERROR(L6/H6,"")</f>
        <v/>
      </c>
      <c r="N6" s="12">
        <f>IFERROR(F6*'0-Client Quote'!$B$7*'0-Client Quote'!$B$8,"")</f>
        <v/>
      </c>
      <c r="O6" s="11">
        <f>IFERROR(F6/N6,"")</f>
        <v/>
      </c>
      <c r="P6" s="5" t="inlineStr">
        <is>
          <t>PLANNED</t>
        </is>
      </c>
      <c r="Q6" s="5" t="inlineStr"/>
    </row>
    <row r="7">
      <c r="A7" s="5" t="inlineStr"/>
      <c r="B7" s="5" t="inlineStr"/>
      <c r="C7" s="5" t="inlineStr"/>
      <c r="D7" s="5" t="inlineStr">
        <is>
          <t>M</t>
        </is>
      </c>
      <c r="E7" s="12">
        <f>IFERROR(VLOOKUP(D7,'1-Setup'!$A$17:$B$21,2,FALSE),"")</f>
        <v/>
      </c>
      <c r="F7" s="12">
        <f>IFERROR(VLOOKUP(D7,'1-Setup'!$A$17:$C$21,3,FALSE),"")</f>
        <v/>
      </c>
      <c r="G7" s="21" t="inlineStr"/>
      <c r="H7" s="21" t="inlineStr"/>
      <c r="I7" s="21" t="inlineStr"/>
      <c r="J7" s="23">
        <f>IFERROR(VLOOKUP(A7,'2-Scenario List'!$A$3:$L$27,12,FALSE),"")</f>
        <v/>
      </c>
      <c r="K7" s="41">
        <f>IFERROR((H7-J7)/J7,"")</f>
        <v/>
      </c>
      <c r="L7" s="21" t="inlineStr"/>
      <c r="M7" s="11">
        <f>IFERROR(L7/H7,"")</f>
        <v/>
      </c>
      <c r="N7" s="12">
        <f>IFERROR(F7*'0-Client Quote'!$B$7*'0-Client Quote'!$B$8,"")</f>
        <v/>
      </c>
      <c r="O7" s="11">
        <f>IFERROR(F7/N7,"")</f>
        <v/>
      </c>
      <c r="P7" s="5" t="inlineStr">
        <is>
          <t>PLANNED</t>
        </is>
      </c>
      <c r="Q7" s="5" t="inlineStr"/>
    </row>
    <row r="8">
      <c r="A8" s="5" t="inlineStr"/>
      <c r="B8" s="5" t="inlineStr"/>
      <c r="C8" s="5" t="inlineStr"/>
      <c r="D8" s="5" t="inlineStr">
        <is>
          <t>M</t>
        </is>
      </c>
      <c r="E8" s="12">
        <f>IFERROR(VLOOKUP(D8,'1-Setup'!$A$17:$B$21,2,FALSE),"")</f>
        <v/>
      </c>
      <c r="F8" s="12">
        <f>IFERROR(VLOOKUP(D8,'1-Setup'!$A$17:$C$21,3,FALSE),"")</f>
        <v/>
      </c>
      <c r="G8" s="21" t="inlineStr"/>
      <c r="H8" s="21" t="inlineStr"/>
      <c r="I8" s="21" t="inlineStr"/>
      <c r="J8" s="23">
        <f>IFERROR(VLOOKUP(A8,'2-Scenario List'!$A$3:$L$27,12,FALSE),"")</f>
        <v/>
      </c>
      <c r="K8" s="41">
        <f>IFERROR((H8-J8)/J8,"")</f>
        <v/>
      </c>
      <c r="L8" s="21" t="inlineStr"/>
      <c r="M8" s="11">
        <f>IFERROR(L8/H8,"")</f>
        <v/>
      </c>
      <c r="N8" s="12">
        <f>IFERROR(F8*'0-Client Quote'!$B$7*'0-Client Quote'!$B$8,"")</f>
        <v/>
      </c>
      <c r="O8" s="11">
        <f>IFERROR(F8/N8,"")</f>
        <v/>
      </c>
      <c r="P8" s="5" t="inlineStr">
        <is>
          <t>PLANNED</t>
        </is>
      </c>
      <c r="Q8" s="5" t="inlineStr"/>
    </row>
    <row r="9">
      <c r="A9" s="5" t="inlineStr"/>
      <c r="B9" s="5" t="inlineStr"/>
      <c r="C9" s="5" t="inlineStr"/>
      <c r="D9" s="5" t="inlineStr">
        <is>
          <t>M</t>
        </is>
      </c>
      <c r="E9" s="12">
        <f>IFERROR(VLOOKUP(D9,'1-Setup'!$A$17:$B$21,2,FALSE),"")</f>
        <v/>
      </c>
      <c r="F9" s="12">
        <f>IFERROR(VLOOKUP(D9,'1-Setup'!$A$17:$C$21,3,FALSE),"")</f>
        <v/>
      </c>
      <c r="G9" s="21" t="inlineStr"/>
      <c r="H9" s="21" t="inlineStr"/>
      <c r="I9" s="21" t="inlineStr"/>
      <c r="J9" s="23">
        <f>IFERROR(VLOOKUP(A9,'2-Scenario List'!$A$3:$L$27,12,FALSE),"")</f>
        <v/>
      </c>
      <c r="K9" s="41">
        <f>IFERROR((H9-J9)/J9,"")</f>
        <v/>
      </c>
      <c r="L9" s="21" t="inlineStr"/>
      <c r="M9" s="11">
        <f>IFERROR(L9/H9,"")</f>
        <v/>
      </c>
      <c r="N9" s="12">
        <f>IFERROR(F9*'0-Client Quote'!$B$7*'0-Client Quote'!$B$8,"")</f>
        <v/>
      </c>
      <c r="O9" s="11">
        <f>IFERROR(F9/N9,"")</f>
        <v/>
      </c>
      <c r="P9" s="5" t="inlineStr">
        <is>
          <t>PLANNED</t>
        </is>
      </c>
      <c r="Q9" s="5" t="inlineStr"/>
    </row>
    <row r="10">
      <c r="A10" s="5" t="inlineStr"/>
      <c r="B10" s="5" t="inlineStr"/>
      <c r="C10" s="5" t="inlineStr"/>
      <c r="D10" s="5" t="inlineStr">
        <is>
          <t>M</t>
        </is>
      </c>
      <c r="E10" s="12">
        <f>IFERROR(VLOOKUP(D10,'1-Setup'!$A$17:$B$21,2,FALSE),"")</f>
        <v/>
      </c>
      <c r="F10" s="12">
        <f>IFERROR(VLOOKUP(D10,'1-Setup'!$A$17:$C$21,3,FALSE),"")</f>
        <v/>
      </c>
      <c r="G10" s="21" t="inlineStr"/>
      <c r="H10" s="21" t="inlineStr"/>
      <c r="I10" s="21" t="inlineStr"/>
      <c r="J10" s="23">
        <f>IFERROR(VLOOKUP(A10,'2-Scenario List'!$A$3:$L$27,12,FALSE),"")</f>
        <v/>
      </c>
      <c r="K10" s="41">
        <f>IFERROR((H10-J10)/J10,"")</f>
        <v/>
      </c>
      <c r="L10" s="21" t="inlineStr"/>
      <c r="M10" s="11">
        <f>IFERROR(L10/H10,"")</f>
        <v/>
      </c>
      <c r="N10" s="12">
        <f>IFERROR(F10*'0-Client Quote'!$B$7*'0-Client Quote'!$B$8,"")</f>
        <v/>
      </c>
      <c r="O10" s="11">
        <f>IFERROR(F10/N10,"")</f>
        <v/>
      </c>
      <c r="P10" s="5" t="inlineStr">
        <is>
          <t>PLANNED</t>
        </is>
      </c>
      <c r="Q10" s="5" t="inlineStr"/>
    </row>
    <row r="11">
      <c r="A11" s="5" t="inlineStr"/>
      <c r="B11" s="5" t="inlineStr"/>
      <c r="C11" s="5" t="inlineStr"/>
      <c r="D11" s="5" t="inlineStr">
        <is>
          <t>M</t>
        </is>
      </c>
      <c r="E11" s="12">
        <f>IFERROR(VLOOKUP(D11,'1-Setup'!$A$17:$B$21,2,FALSE),"")</f>
        <v/>
      </c>
      <c r="F11" s="12">
        <f>IFERROR(VLOOKUP(D11,'1-Setup'!$A$17:$C$21,3,FALSE),"")</f>
        <v/>
      </c>
      <c r="G11" s="21" t="inlineStr"/>
      <c r="H11" s="21" t="inlineStr"/>
      <c r="I11" s="21" t="inlineStr"/>
      <c r="J11" s="23">
        <f>IFERROR(VLOOKUP(A11,'2-Scenario List'!$A$3:$L$27,12,FALSE),"")</f>
        <v/>
      </c>
      <c r="K11" s="41">
        <f>IFERROR((H11-J11)/J11,"")</f>
        <v/>
      </c>
      <c r="L11" s="21" t="inlineStr"/>
      <c r="M11" s="11">
        <f>IFERROR(L11/H11,"")</f>
        <v/>
      </c>
      <c r="N11" s="12">
        <f>IFERROR(F11*'0-Client Quote'!$B$7*'0-Client Quote'!$B$8,"")</f>
        <v/>
      </c>
      <c r="O11" s="11">
        <f>IFERROR(F11/N11,"")</f>
        <v/>
      </c>
      <c r="P11" s="5" t="inlineStr">
        <is>
          <t>PLANNED</t>
        </is>
      </c>
      <c r="Q11" s="5" t="inlineStr"/>
    </row>
    <row r="12">
      <c r="A12" s="5" t="inlineStr"/>
      <c r="B12" s="5" t="inlineStr"/>
      <c r="C12" s="5" t="inlineStr"/>
      <c r="D12" s="5" t="inlineStr">
        <is>
          <t>M</t>
        </is>
      </c>
      <c r="E12" s="12">
        <f>IFERROR(VLOOKUP(D12,'1-Setup'!$A$17:$B$21,2,FALSE),"")</f>
        <v/>
      </c>
      <c r="F12" s="12">
        <f>IFERROR(VLOOKUP(D12,'1-Setup'!$A$17:$C$21,3,FALSE),"")</f>
        <v/>
      </c>
      <c r="G12" s="21" t="inlineStr"/>
      <c r="H12" s="21" t="inlineStr"/>
      <c r="I12" s="21" t="inlineStr"/>
      <c r="J12" s="23">
        <f>IFERROR(VLOOKUP(A12,'2-Scenario List'!$A$3:$L$27,12,FALSE),"")</f>
        <v/>
      </c>
      <c r="K12" s="41">
        <f>IFERROR((H12-J12)/J12,"")</f>
        <v/>
      </c>
      <c r="L12" s="21" t="inlineStr"/>
      <c r="M12" s="11">
        <f>IFERROR(L12/H12,"")</f>
        <v/>
      </c>
      <c r="N12" s="12">
        <f>IFERROR(F12*'0-Client Quote'!$B$7*'0-Client Quote'!$B$8,"")</f>
        <v/>
      </c>
      <c r="O12" s="11">
        <f>IFERROR(F12/N12,"")</f>
        <v/>
      </c>
      <c r="P12" s="5" t="inlineStr">
        <is>
          <t>PLANNED</t>
        </is>
      </c>
      <c r="Q12" s="5" t="inlineStr"/>
    </row>
    <row r="13">
      <c r="A13" s="5" t="inlineStr"/>
      <c r="B13" s="5" t="inlineStr"/>
      <c r="C13" s="5" t="inlineStr"/>
      <c r="D13" s="5" t="inlineStr">
        <is>
          <t>M</t>
        </is>
      </c>
      <c r="E13" s="12">
        <f>IFERROR(VLOOKUP(D13,'1-Setup'!$A$17:$B$21,2,FALSE),"")</f>
        <v/>
      </c>
      <c r="F13" s="12">
        <f>IFERROR(VLOOKUP(D13,'1-Setup'!$A$17:$C$21,3,FALSE),"")</f>
        <v/>
      </c>
      <c r="G13" s="21" t="inlineStr"/>
      <c r="H13" s="21" t="inlineStr"/>
      <c r="I13" s="21" t="inlineStr"/>
      <c r="J13" s="23">
        <f>IFERROR(VLOOKUP(A13,'2-Scenario List'!$A$3:$L$27,12,FALSE),"")</f>
        <v/>
      </c>
      <c r="K13" s="41">
        <f>IFERROR((H13-J13)/J13,"")</f>
        <v/>
      </c>
      <c r="L13" s="21" t="inlineStr"/>
      <c r="M13" s="11">
        <f>IFERROR(L13/H13,"")</f>
        <v/>
      </c>
      <c r="N13" s="12">
        <f>IFERROR(F13*'0-Client Quote'!$B$7*'0-Client Quote'!$B$8,"")</f>
        <v/>
      </c>
      <c r="O13" s="11">
        <f>IFERROR(F13/N13,"")</f>
        <v/>
      </c>
      <c r="P13" s="5" t="inlineStr">
        <is>
          <t>PLANNED</t>
        </is>
      </c>
      <c r="Q13" s="5" t="inlineStr"/>
    </row>
    <row r="14">
      <c r="A14" s="5" t="inlineStr"/>
      <c r="B14" s="5" t="inlineStr"/>
      <c r="C14" s="5" t="inlineStr"/>
      <c r="D14" s="5" t="inlineStr">
        <is>
          <t>M</t>
        </is>
      </c>
      <c r="E14" s="12">
        <f>IFERROR(VLOOKUP(D14,'1-Setup'!$A$17:$B$21,2,FALSE),"")</f>
        <v/>
      </c>
      <c r="F14" s="12">
        <f>IFERROR(VLOOKUP(D14,'1-Setup'!$A$17:$C$21,3,FALSE),"")</f>
        <v/>
      </c>
      <c r="G14" s="21" t="inlineStr"/>
      <c r="H14" s="21" t="inlineStr"/>
      <c r="I14" s="21" t="inlineStr"/>
      <c r="J14" s="23">
        <f>IFERROR(VLOOKUP(A14,'2-Scenario List'!$A$3:$L$27,12,FALSE),"")</f>
        <v/>
      </c>
      <c r="K14" s="41">
        <f>IFERROR((H14-J14)/J14,"")</f>
        <v/>
      </c>
      <c r="L14" s="21" t="inlineStr"/>
      <c r="M14" s="11">
        <f>IFERROR(L14/H14,"")</f>
        <v/>
      </c>
      <c r="N14" s="12">
        <f>IFERROR(F14*'0-Client Quote'!$B$7*'0-Client Quote'!$B$8,"")</f>
        <v/>
      </c>
      <c r="O14" s="11">
        <f>IFERROR(F14/N14,"")</f>
        <v/>
      </c>
      <c r="P14" s="5" t="inlineStr">
        <is>
          <t>PLANNED</t>
        </is>
      </c>
      <c r="Q14" s="5" t="inlineStr"/>
    </row>
    <row r="15">
      <c r="A15" s="5" t="inlineStr"/>
      <c r="B15" s="5" t="inlineStr"/>
      <c r="C15" s="5" t="inlineStr"/>
      <c r="D15" s="5" t="inlineStr">
        <is>
          <t>M</t>
        </is>
      </c>
      <c r="E15" s="12">
        <f>IFERROR(VLOOKUP(D15,'1-Setup'!$A$17:$B$21,2,FALSE),"")</f>
        <v/>
      </c>
      <c r="F15" s="12">
        <f>IFERROR(VLOOKUP(D15,'1-Setup'!$A$17:$C$21,3,FALSE),"")</f>
        <v/>
      </c>
      <c r="G15" s="21" t="inlineStr"/>
      <c r="H15" s="21" t="inlineStr"/>
      <c r="I15" s="21" t="inlineStr"/>
      <c r="J15" s="23">
        <f>IFERROR(VLOOKUP(A15,'2-Scenario List'!$A$3:$L$27,12,FALSE),"")</f>
        <v/>
      </c>
      <c r="K15" s="41">
        <f>IFERROR((H15-J15)/J15,"")</f>
        <v/>
      </c>
      <c r="L15" s="21" t="inlineStr"/>
      <c r="M15" s="11">
        <f>IFERROR(L15/H15,"")</f>
        <v/>
      </c>
      <c r="N15" s="12">
        <f>IFERROR(F15*'0-Client Quote'!$B$7*'0-Client Quote'!$B$8,"")</f>
        <v/>
      </c>
      <c r="O15" s="11">
        <f>IFERROR(F15/N15,"")</f>
        <v/>
      </c>
      <c r="P15" s="5" t="inlineStr">
        <is>
          <t>PLANNED</t>
        </is>
      </c>
      <c r="Q15" s="5" t="inlineStr"/>
    </row>
    <row r="16">
      <c r="A16" s="5" t="inlineStr"/>
      <c r="B16" s="5" t="inlineStr"/>
      <c r="C16" s="5" t="inlineStr"/>
      <c r="D16" s="5" t="inlineStr">
        <is>
          <t>M</t>
        </is>
      </c>
      <c r="E16" s="12">
        <f>IFERROR(VLOOKUP(D16,'1-Setup'!$A$17:$B$21,2,FALSE),"")</f>
        <v/>
      </c>
      <c r="F16" s="12">
        <f>IFERROR(VLOOKUP(D16,'1-Setup'!$A$17:$C$21,3,FALSE),"")</f>
        <v/>
      </c>
      <c r="G16" s="21" t="inlineStr"/>
      <c r="H16" s="21" t="inlineStr"/>
      <c r="I16" s="21" t="inlineStr"/>
      <c r="J16" s="23">
        <f>IFERROR(VLOOKUP(A16,'2-Scenario List'!$A$3:$L$27,12,FALSE),"")</f>
        <v/>
      </c>
      <c r="K16" s="41">
        <f>IFERROR((H16-J16)/J16,"")</f>
        <v/>
      </c>
      <c r="L16" s="21" t="inlineStr"/>
      <c r="M16" s="11">
        <f>IFERROR(L16/H16,"")</f>
        <v/>
      </c>
      <c r="N16" s="12">
        <f>IFERROR(F16*'0-Client Quote'!$B$7*'0-Client Quote'!$B$8,"")</f>
        <v/>
      </c>
      <c r="O16" s="11">
        <f>IFERROR(F16/N16,"")</f>
        <v/>
      </c>
      <c r="P16" s="5" t="inlineStr">
        <is>
          <t>PLANNED</t>
        </is>
      </c>
      <c r="Q16" s="5" t="inlineStr"/>
    </row>
    <row r="17">
      <c r="A17" s="5" t="inlineStr"/>
      <c r="B17" s="5" t="inlineStr"/>
      <c r="C17" s="5" t="inlineStr"/>
      <c r="D17" s="5" t="inlineStr">
        <is>
          <t>M</t>
        </is>
      </c>
      <c r="E17" s="12">
        <f>IFERROR(VLOOKUP(D17,'1-Setup'!$A$17:$B$21,2,FALSE),"")</f>
        <v/>
      </c>
      <c r="F17" s="12">
        <f>IFERROR(VLOOKUP(D17,'1-Setup'!$A$17:$C$21,3,FALSE),"")</f>
        <v/>
      </c>
      <c r="G17" s="21" t="inlineStr"/>
      <c r="H17" s="21" t="inlineStr"/>
      <c r="I17" s="21" t="inlineStr"/>
      <c r="J17" s="23">
        <f>IFERROR(VLOOKUP(A17,'2-Scenario List'!$A$3:$L$27,12,FALSE),"")</f>
        <v/>
      </c>
      <c r="K17" s="41">
        <f>IFERROR((H17-J17)/J17,"")</f>
        <v/>
      </c>
      <c r="L17" s="21" t="inlineStr"/>
      <c r="M17" s="11">
        <f>IFERROR(L17/H17,"")</f>
        <v/>
      </c>
      <c r="N17" s="12">
        <f>IFERROR(F17*'0-Client Quote'!$B$7*'0-Client Quote'!$B$8,"")</f>
        <v/>
      </c>
      <c r="O17" s="11">
        <f>IFERROR(F17/N17,"")</f>
        <v/>
      </c>
      <c r="P17" s="5" t="inlineStr">
        <is>
          <t>PLANNED</t>
        </is>
      </c>
      <c r="Q17" s="5" t="inlineStr"/>
    </row>
    <row r="18">
      <c r="A18" s="5" t="inlineStr"/>
      <c r="B18" s="5" t="inlineStr"/>
      <c r="C18" s="5" t="inlineStr"/>
      <c r="D18" s="5" t="inlineStr">
        <is>
          <t>M</t>
        </is>
      </c>
      <c r="E18" s="12">
        <f>IFERROR(VLOOKUP(D18,'1-Setup'!$A$17:$B$21,2,FALSE),"")</f>
        <v/>
      </c>
      <c r="F18" s="12">
        <f>IFERROR(VLOOKUP(D18,'1-Setup'!$A$17:$C$21,3,FALSE),"")</f>
        <v/>
      </c>
      <c r="G18" s="21" t="inlineStr"/>
      <c r="H18" s="21" t="inlineStr"/>
      <c r="I18" s="21" t="inlineStr"/>
      <c r="J18" s="23">
        <f>IFERROR(VLOOKUP(A18,'2-Scenario List'!$A$3:$L$27,12,FALSE),"")</f>
        <v/>
      </c>
      <c r="K18" s="41">
        <f>IFERROR((H18-J18)/J18,"")</f>
        <v/>
      </c>
      <c r="L18" s="21" t="inlineStr"/>
      <c r="M18" s="11">
        <f>IFERROR(L18/H18,"")</f>
        <v/>
      </c>
      <c r="N18" s="12">
        <f>IFERROR(F18*'0-Client Quote'!$B$7*'0-Client Quote'!$B$8,"")</f>
        <v/>
      </c>
      <c r="O18" s="11">
        <f>IFERROR(F18/N18,"")</f>
        <v/>
      </c>
      <c r="P18" s="5" t="inlineStr">
        <is>
          <t>PLANNED</t>
        </is>
      </c>
      <c r="Q18" s="5" t="inlineStr"/>
    </row>
    <row r="19">
      <c r="A19" s="5" t="inlineStr"/>
      <c r="B19" s="5" t="inlineStr"/>
      <c r="C19" s="5" t="inlineStr"/>
      <c r="D19" s="5" t="inlineStr">
        <is>
          <t>M</t>
        </is>
      </c>
      <c r="E19" s="12">
        <f>IFERROR(VLOOKUP(D19,'1-Setup'!$A$17:$B$21,2,FALSE),"")</f>
        <v/>
      </c>
      <c r="F19" s="12">
        <f>IFERROR(VLOOKUP(D19,'1-Setup'!$A$17:$C$21,3,FALSE),"")</f>
        <v/>
      </c>
      <c r="G19" s="21" t="inlineStr"/>
      <c r="H19" s="21" t="inlineStr"/>
      <c r="I19" s="21" t="inlineStr"/>
      <c r="J19" s="23">
        <f>IFERROR(VLOOKUP(A19,'2-Scenario List'!$A$3:$L$27,12,FALSE),"")</f>
        <v/>
      </c>
      <c r="K19" s="41">
        <f>IFERROR((H19-J19)/J19,"")</f>
        <v/>
      </c>
      <c r="L19" s="21" t="inlineStr"/>
      <c r="M19" s="11">
        <f>IFERROR(L19/H19,"")</f>
        <v/>
      </c>
      <c r="N19" s="12">
        <f>IFERROR(F19*'0-Client Quote'!$B$7*'0-Client Quote'!$B$8,"")</f>
        <v/>
      </c>
      <c r="O19" s="11">
        <f>IFERROR(F19/N19,"")</f>
        <v/>
      </c>
      <c r="P19" s="5" t="inlineStr">
        <is>
          <t>PLANNED</t>
        </is>
      </c>
      <c r="Q19" s="5" t="inlineStr"/>
    </row>
    <row r="20">
      <c r="A20" s="5" t="inlineStr"/>
      <c r="B20" s="5" t="inlineStr"/>
      <c r="C20" s="5" t="inlineStr"/>
      <c r="D20" s="5" t="inlineStr">
        <is>
          <t>M</t>
        </is>
      </c>
      <c r="E20" s="12">
        <f>IFERROR(VLOOKUP(D20,'1-Setup'!$A$17:$B$21,2,FALSE),"")</f>
        <v/>
      </c>
      <c r="F20" s="12">
        <f>IFERROR(VLOOKUP(D20,'1-Setup'!$A$17:$C$21,3,FALSE),"")</f>
        <v/>
      </c>
      <c r="G20" s="21" t="inlineStr"/>
      <c r="H20" s="21" t="inlineStr"/>
      <c r="I20" s="21" t="inlineStr"/>
      <c r="J20" s="23">
        <f>IFERROR(VLOOKUP(A20,'2-Scenario List'!$A$3:$L$27,12,FALSE),"")</f>
        <v/>
      </c>
      <c r="K20" s="41">
        <f>IFERROR((H20-J20)/J20,"")</f>
        <v/>
      </c>
      <c r="L20" s="21" t="inlineStr"/>
      <c r="M20" s="11">
        <f>IFERROR(L20/H20,"")</f>
        <v/>
      </c>
      <c r="N20" s="12">
        <f>IFERROR(F20*'0-Client Quote'!$B$7*'0-Client Quote'!$B$8,"")</f>
        <v/>
      </c>
      <c r="O20" s="11">
        <f>IFERROR(F20/N20,"")</f>
        <v/>
      </c>
      <c r="P20" s="5" t="inlineStr">
        <is>
          <t>PLANNED</t>
        </is>
      </c>
      <c r="Q20" s="5" t="inlineStr"/>
    </row>
    <row r="21">
      <c r="A21" s="5" t="inlineStr"/>
      <c r="B21" s="5" t="inlineStr"/>
      <c r="C21" s="5" t="inlineStr"/>
      <c r="D21" s="5" t="inlineStr">
        <is>
          <t>M</t>
        </is>
      </c>
      <c r="E21" s="12">
        <f>IFERROR(VLOOKUP(D21,'1-Setup'!$A$17:$B$21,2,FALSE),"")</f>
        <v/>
      </c>
      <c r="F21" s="12">
        <f>IFERROR(VLOOKUP(D21,'1-Setup'!$A$17:$C$21,3,FALSE),"")</f>
        <v/>
      </c>
      <c r="G21" s="21" t="inlineStr"/>
      <c r="H21" s="21" t="inlineStr"/>
      <c r="I21" s="21" t="inlineStr"/>
      <c r="J21" s="23">
        <f>IFERROR(VLOOKUP(A21,'2-Scenario List'!$A$3:$L$27,12,FALSE),"")</f>
        <v/>
      </c>
      <c r="K21" s="41">
        <f>IFERROR((H21-J21)/J21,"")</f>
        <v/>
      </c>
      <c r="L21" s="21" t="inlineStr"/>
      <c r="M21" s="11">
        <f>IFERROR(L21/H21,"")</f>
        <v/>
      </c>
      <c r="N21" s="12">
        <f>IFERROR(F21*'0-Client Quote'!$B$7*'0-Client Quote'!$B$8,"")</f>
        <v/>
      </c>
      <c r="O21" s="11">
        <f>IFERROR(F21/N21,"")</f>
        <v/>
      </c>
      <c r="P21" s="5" t="inlineStr">
        <is>
          <t>PLANNED</t>
        </is>
      </c>
      <c r="Q21" s="5" t="inlineStr"/>
    </row>
    <row r="22">
      <c r="A22" s="5" t="inlineStr"/>
      <c r="B22" s="5" t="inlineStr"/>
      <c r="C22" s="5" t="inlineStr"/>
      <c r="D22" s="5" t="inlineStr">
        <is>
          <t>M</t>
        </is>
      </c>
      <c r="E22" s="12">
        <f>IFERROR(VLOOKUP(D22,'1-Setup'!$A$17:$B$21,2,FALSE),"")</f>
        <v/>
      </c>
      <c r="F22" s="12">
        <f>IFERROR(VLOOKUP(D22,'1-Setup'!$A$17:$C$21,3,FALSE),"")</f>
        <v/>
      </c>
      <c r="G22" s="21" t="inlineStr"/>
      <c r="H22" s="21" t="inlineStr"/>
      <c r="I22" s="21" t="inlineStr"/>
      <c r="J22" s="23">
        <f>IFERROR(VLOOKUP(A22,'2-Scenario List'!$A$3:$L$27,12,FALSE),"")</f>
        <v/>
      </c>
      <c r="K22" s="41">
        <f>IFERROR((H22-J22)/J22,"")</f>
        <v/>
      </c>
      <c r="L22" s="21" t="inlineStr"/>
      <c r="M22" s="11">
        <f>IFERROR(L22/H22,"")</f>
        <v/>
      </c>
      <c r="N22" s="12">
        <f>IFERROR(F22*'0-Client Quote'!$B$7*'0-Client Quote'!$B$8,"")</f>
        <v/>
      </c>
      <c r="O22" s="11">
        <f>IFERROR(F22/N22,"")</f>
        <v/>
      </c>
      <c r="P22" s="5" t="inlineStr">
        <is>
          <t>PLANNED</t>
        </is>
      </c>
      <c r="Q22" s="5" t="inlineStr"/>
    </row>
    <row r="23">
      <c r="A23" s="5" t="inlineStr"/>
      <c r="B23" s="5" t="inlineStr"/>
      <c r="C23" s="5" t="inlineStr"/>
      <c r="D23" s="5" t="inlineStr">
        <is>
          <t>M</t>
        </is>
      </c>
      <c r="E23" s="12">
        <f>IFERROR(VLOOKUP(D23,'1-Setup'!$A$17:$B$21,2,FALSE),"")</f>
        <v/>
      </c>
      <c r="F23" s="12">
        <f>IFERROR(VLOOKUP(D23,'1-Setup'!$A$17:$C$21,3,FALSE),"")</f>
        <v/>
      </c>
      <c r="G23" s="21" t="inlineStr"/>
      <c r="H23" s="21" t="inlineStr"/>
      <c r="I23" s="21" t="inlineStr"/>
      <c r="J23" s="23">
        <f>IFERROR(VLOOKUP(A23,'2-Scenario List'!$A$3:$L$27,12,FALSE),"")</f>
        <v/>
      </c>
      <c r="K23" s="41">
        <f>IFERROR((H23-J23)/J23,"")</f>
        <v/>
      </c>
      <c r="L23" s="21" t="inlineStr"/>
      <c r="M23" s="11">
        <f>IFERROR(L23/H23,"")</f>
        <v/>
      </c>
      <c r="N23" s="12">
        <f>IFERROR(F23*'0-Client Quote'!$B$7*'0-Client Quote'!$B$8,"")</f>
        <v/>
      </c>
      <c r="O23" s="11">
        <f>IFERROR(F23/N23,"")</f>
        <v/>
      </c>
      <c r="P23" s="5" t="inlineStr">
        <is>
          <t>PLANNED</t>
        </is>
      </c>
      <c r="Q23" s="5" t="inlineStr"/>
    </row>
    <row r="24">
      <c r="A24" s="5" t="inlineStr"/>
      <c r="B24" s="5" t="inlineStr"/>
      <c r="C24" s="5" t="inlineStr"/>
      <c r="D24" s="5" t="inlineStr">
        <is>
          <t>M</t>
        </is>
      </c>
      <c r="E24" s="12">
        <f>IFERROR(VLOOKUP(D24,'1-Setup'!$A$17:$B$21,2,FALSE),"")</f>
        <v/>
      </c>
      <c r="F24" s="12">
        <f>IFERROR(VLOOKUP(D24,'1-Setup'!$A$17:$C$21,3,FALSE),"")</f>
        <v/>
      </c>
      <c r="G24" s="21" t="inlineStr"/>
      <c r="H24" s="21" t="inlineStr"/>
      <c r="I24" s="21" t="inlineStr"/>
      <c r="J24" s="23">
        <f>IFERROR(VLOOKUP(A24,'2-Scenario List'!$A$3:$L$27,12,FALSE),"")</f>
        <v/>
      </c>
      <c r="K24" s="41">
        <f>IFERROR((H24-J24)/J24,"")</f>
        <v/>
      </c>
      <c r="L24" s="21" t="inlineStr"/>
      <c r="M24" s="11">
        <f>IFERROR(L24/H24,"")</f>
        <v/>
      </c>
      <c r="N24" s="12">
        <f>IFERROR(F24*'0-Client Quote'!$B$7*'0-Client Quote'!$B$8,"")</f>
        <v/>
      </c>
      <c r="O24" s="11">
        <f>IFERROR(F24/N24,"")</f>
        <v/>
      </c>
      <c r="P24" s="5" t="inlineStr">
        <is>
          <t>PLANNED</t>
        </is>
      </c>
      <c r="Q24" s="5" t="inlineStr"/>
    </row>
    <row r="25">
      <c r="A25" s="5" t="inlineStr"/>
      <c r="B25" s="5" t="inlineStr"/>
      <c r="C25" s="5" t="inlineStr"/>
      <c r="D25" s="5" t="inlineStr">
        <is>
          <t>M</t>
        </is>
      </c>
      <c r="E25" s="12">
        <f>IFERROR(VLOOKUP(D25,'1-Setup'!$A$17:$B$21,2,FALSE),"")</f>
        <v/>
      </c>
      <c r="F25" s="12">
        <f>IFERROR(VLOOKUP(D25,'1-Setup'!$A$17:$C$21,3,FALSE),"")</f>
        <v/>
      </c>
      <c r="G25" s="21" t="inlineStr"/>
      <c r="H25" s="21" t="inlineStr"/>
      <c r="I25" s="21" t="inlineStr"/>
      <c r="J25" s="23">
        <f>IFERROR(VLOOKUP(A25,'2-Scenario List'!$A$3:$L$27,12,FALSE),"")</f>
        <v/>
      </c>
      <c r="K25" s="41">
        <f>IFERROR((H25-J25)/J25,"")</f>
        <v/>
      </c>
      <c r="L25" s="21" t="inlineStr"/>
      <c r="M25" s="11">
        <f>IFERROR(L25/H25,"")</f>
        <v/>
      </c>
      <c r="N25" s="12">
        <f>IFERROR(F25*'0-Client Quote'!$B$7*'0-Client Quote'!$B$8,"")</f>
        <v/>
      </c>
      <c r="O25" s="11">
        <f>IFERROR(F25/N25,"")</f>
        <v/>
      </c>
      <c r="P25" s="5" t="inlineStr">
        <is>
          <t>PLANNED</t>
        </is>
      </c>
      <c r="Q25" s="5" t="inlineStr"/>
    </row>
    <row r="26">
      <c r="A26" s="5" t="inlineStr"/>
      <c r="B26" s="5" t="inlineStr"/>
      <c r="C26" s="5" t="inlineStr"/>
      <c r="D26" s="5" t="inlineStr">
        <is>
          <t>M</t>
        </is>
      </c>
      <c r="E26" s="12">
        <f>IFERROR(VLOOKUP(D26,'1-Setup'!$A$17:$B$21,2,FALSE),"")</f>
        <v/>
      </c>
      <c r="F26" s="12">
        <f>IFERROR(VLOOKUP(D26,'1-Setup'!$A$17:$C$21,3,FALSE),"")</f>
        <v/>
      </c>
      <c r="G26" s="21" t="inlineStr"/>
      <c r="H26" s="21" t="inlineStr"/>
      <c r="I26" s="21" t="inlineStr"/>
      <c r="J26" s="23">
        <f>IFERROR(VLOOKUP(A26,'2-Scenario List'!$A$3:$L$27,12,FALSE),"")</f>
        <v/>
      </c>
      <c r="K26" s="41">
        <f>IFERROR((H26-J26)/J26,"")</f>
        <v/>
      </c>
      <c r="L26" s="21" t="inlineStr"/>
      <c r="M26" s="11">
        <f>IFERROR(L26/H26,"")</f>
        <v/>
      </c>
      <c r="N26" s="12">
        <f>IFERROR(F26*'0-Client Quote'!$B$7*'0-Client Quote'!$B$8,"")</f>
        <v/>
      </c>
      <c r="O26" s="11">
        <f>IFERROR(F26/N26,"")</f>
        <v/>
      </c>
      <c r="P26" s="5" t="inlineStr">
        <is>
          <t>PLANNED</t>
        </is>
      </c>
      <c r="Q26" s="5" t="inlineStr"/>
    </row>
    <row r="27">
      <c r="A27" s="5" t="inlineStr"/>
      <c r="B27" s="5" t="inlineStr"/>
      <c r="C27" s="5" t="inlineStr"/>
      <c r="D27" s="5" t="inlineStr">
        <is>
          <t>M</t>
        </is>
      </c>
      <c r="E27" s="12">
        <f>IFERROR(VLOOKUP(D27,'1-Setup'!$A$17:$B$21,2,FALSE),"")</f>
        <v/>
      </c>
      <c r="F27" s="12">
        <f>IFERROR(VLOOKUP(D27,'1-Setup'!$A$17:$C$21,3,FALSE),"")</f>
        <v/>
      </c>
      <c r="G27" s="21" t="inlineStr"/>
      <c r="H27" s="21" t="inlineStr"/>
      <c r="I27" s="21" t="inlineStr"/>
      <c r="J27" s="23">
        <f>IFERROR(VLOOKUP(A27,'2-Scenario List'!$A$3:$L$27,12,FALSE),"")</f>
        <v/>
      </c>
      <c r="K27" s="41">
        <f>IFERROR((H27-J27)/J27,"")</f>
        <v/>
      </c>
      <c r="L27" s="21" t="inlineStr"/>
      <c r="M27" s="11">
        <f>IFERROR(L27/H27,"")</f>
        <v/>
      </c>
      <c r="N27" s="12">
        <f>IFERROR(F27*'0-Client Quote'!$B$7*'0-Client Quote'!$B$8,"")</f>
        <v/>
      </c>
      <c r="O27" s="11">
        <f>IFERROR(F27/N27,"")</f>
        <v/>
      </c>
      <c r="P27" s="5" t="inlineStr">
        <is>
          <t>PLANNED</t>
        </is>
      </c>
      <c r="Q27" s="5" t="inlineStr"/>
    </row>
    <row r="28">
      <c r="A28" s="24" t="inlineStr">
        <is>
          <t>PROJECT TOTAL</t>
        </is>
      </c>
      <c r="E28" s="23">
        <f>SUM(E3:E27)</f>
        <v/>
      </c>
      <c r="F28" s="23">
        <f>SUM(F3:F27)</f>
        <v/>
      </c>
      <c r="G28" s="23">
        <f>SUM(G3:G27)</f>
        <v/>
      </c>
      <c r="H28" s="23">
        <f>SUM(H3:H27)</f>
        <v/>
      </c>
      <c r="I28" s="23">
        <f>SUM(I3:I27)</f>
        <v/>
      </c>
      <c r="J28" s="23">
        <f>SUM(J3:J27)</f>
        <v/>
      </c>
      <c r="L28" s="23">
        <f>SUM(L3:L27)</f>
        <v/>
      </c>
      <c r="M28" s="11">
        <f>IFERROR(L28/H28,"")</f>
        <v/>
      </c>
      <c r="N28" s="23">
        <f>SUM(N3:N27)</f>
        <v/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2026-04-08T16:44:28Z</dcterms:created>
  <dcterms:modified xmlns:dcterms="http://purl.org/dc/terms/" xmlns:xsi="http://www.w3.org/2001/XMLSchema-instance" xsi:type="dcterms:W3CDTF">2026-04-08T16:44:28Z</dcterms:modified>
</cp:coreProperties>
</file>